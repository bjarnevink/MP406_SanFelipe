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c5fcd9df4f5aa5e/Documents/MSc CIE/Q5_Multidisciplinary Project/Structural/"/>
    </mc:Choice>
  </mc:AlternateContent>
  <xr:revisionPtr revIDLastSave="1872" documentId="8_{2F228ED3-0BC7-4439-A3DF-D2B902CEF862}" xr6:coauthVersionLast="47" xr6:coauthVersionMax="47" xr10:uidLastSave="{C1AC3BBC-6B03-403C-86CD-8CECAADAE94E}"/>
  <bookViews>
    <workbookView minimized="1" xWindow="1848" yWindow="1848" windowWidth="17280" windowHeight="8880" firstSheet="2" activeTab="10" xr2:uid="{93C47CAD-BCF6-4EDC-BB5B-C30B3F21331F}"/>
  </bookViews>
  <sheets>
    <sheet name="Sheet1" sheetId="1" r:id="rId1"/>
    <sheet name="cluster1" sheetId="2" r:id="rId2"/>
    <sheet name="cluster2" sheetId="3" r:id="rId3"/>
    <sheet name="cluster3" sheetId="4" r:id="rId4"/>
    <sheet name="cluster4" sheetId="5" r:id="rId5"/>
    <sheet name="cluster5" sheetId="6" r:id="rId6"/>
    <sheet name="cluster6" sheetId="7" r:id="rId7"/>
    <sheet name="cluster7" sheetId="8" r:id="rId8"/>
    <sheet name="cluster8" sheetId="9" r:id="rId9"/>
    <sheet name="cluster9" sheetId="10" r:id="rId10"/>
    <sheet name="cluster10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12" i="1" l="1"/>
  <c r="I11" i="10" s="1"/>
  <c r="I112" i="1"/>
  <c r="J28" i="11"/>
  <c r="I30" i="11"/>
  <c r="I28" i="11"/>
  <c r="J21" i="11"/>
  <c r="I21" i="11"/>
  <c r="I13" i="11"/>
  <c r="I11" i="11"/>
  <c r="I9" i="11"/>
  <c r="F30" i="11"/>
  <c r="G28" i="11"/>
  <c r="F28" i="11"/>
  <c r="G21" i="11"/>
  <c r="F21" i="11"/>
  <c r="F13" i="11"/>
  <c r="I111" i="1"/>
  <c r="F9" i="10" s="1"/>
  <c r="I120" i="1"/>
  <c r="F9" i="11" s="1"/>
  <c r="J120" i="1"/>
  <c r="F11" i="11"/>
  <c r="D21" i="11"/>
  <c r="D28" i="11"/>
  <c r="C30" i="11"/>
  <c r="C28" i="11"/>
  <c r="C21" i="11"/>
  <c r="C13" i="11"/>
  <c r="C11" i="11"/>
  <c r="C9" i="11"/>
  <c r="J28" i="10"/>
  <c r="I30" i="10"/>
  <c r="I28" i="10"/>
  <c r="J21" i="10"/>
  <c r="I21" i="10"/>
  <c r="I13" i="10"/>
  <c r="I9" i="10"/>
  <c r="G28" i="10"/>
  <c r="F30" i="10"/>
  <c r="F28" i="10"/>
  <c r="G21" i="10"/>
  <c r="F21" i="10"/>
  <c r="F13" i="10"/>
  <c r="F11" i="10"/>
  <c r="D28" i="10"/>
  <c r="C30" i="10"/>
  <c r="C28" i="10"/>
  <c r="D21" i="10"/>
  <c r="C21" i="10"/>
  <c r="C13" i="10"/>
  <c r="C11" i="10"/>
  <c r="C9" i="10"/>
  <c r="J29" i="9"/>
  <c r="I31" i="9"/>
  <c r="I29" i="9"/>
  <c r="J22" i="9"/>
  <c r="I22" i="9"/>
  <c r="I14" i="9"/>
  <c r="I12" i="9"/>
  <c r="I10" i="9"/>
  <c r="G29" i="9"/>
  <c r="F31" i="9"/>
  <c r="F29" i="9"/>
  <c r="G22" i="9"/>
  <c r="F22" i="9"/>
  <c r="F14" i="9"/>
  <c r="F12" i="9"/>
  <c r="F10" i="9"/>
  <c r="D29" i="9"/>
  <c r="C31" i="9"/>
  <c r="C29" i="9"/>
  <c r="D22" i="9"/>
  <c r="C22" i="9"/>
  <c r="C14" i="9"/>
  <c r="C12" i="9"/>
  <c r="C10" i="9"/>
  <c r="J29" i="8"/>
  <c r="I31" i="8"/>
  <c r="I29" i="8"/>
  <c r="J22" i="8"/>
  <c r="I22" i="8"/>
  <c r="I14" i="8"/>
  <c r="I12" i="8"/>
  <c r="I10" i="8"/>
  <c r="F29" i="8"/>
  <c r="G29" i="8"/>
  <c r="F31" i="8"/>
  <c r="G22" i="8"/>
  <c r="F22" i="8"/>
  <c r="F14" i="8"/>
  <c r="F12" i="8"/>
  <c r="F10" i="8"/>
  <c r="D29" i="8"/>
  <c r="C31" i="8"/>
  <c r="C29" i="8"/>
  <c r="D22" i="8"/>
  <c r="C22" i="8"/>
  <c r="C14" i="8"/>
  <c r="C12" i="8"/>
  <c r="C10" i="8"/>
  <c r="J29" i="7"/>
  <c r="I31" i="7"/>
  <c r="I29" i="7"/>
  <c r="J22" i="7"/>
  <c r="I22" i="7"/>
  <c r="I14" i="7"/>
  <c r="I12" i="7"/>
  <c r="I10" i="7"/>
  <c r="G29" i="7"/>
  <c r="F31" i="7"/>
  <c r="F29" i="7"/>
  <c r="G22" i="7"/>
  <c r="F22" i="7"/>
  <c r="F14" i="7"/>
  <c r="F12" i="7"/>
  <c r="F10" i="7"/>
  <c r="C29" i="7"/>
  <c r="C31" i="7"/>
  <c r="D29" i="7"/>
  <c r="D22" i="7"/>
  <c r="C22" i="7"/>
  <c r="C14" i="7"/>
  <c r="C12" i="7"/>
  <c r="C10" i="7"/>
  <c r="J29" i="6"/>
  <c r="I31" i="6"/>
  <c r="I29" i="6"/>
  <c r="J22" i="6"/>
  <c r="I22" i="6"/>
  <c r="I14" i="6"/>
  <c r="I12" i="6"/>
  <c r="I10" i="6"/>
  <c r="F29" i="6"/>
  <c r="F31" i="6"/>
  <c r="G29" i="6"/>
  <c r="G22" i="6"/>
  <c r="F22" i="6"/>
  <c r="F14" i="6"/>
  <c r="F12" i="6"/>
  <c r="F10" i="6"/>
  <c r="D29" i="6"/>
  <c r="C31" i="6"/>
  <c r="C29" i="6"/>
  <c r="D22" i="6"/>
  <c r="C22" i="6"/>
  <c r="C14" i="6"/>
  <c r="C12" i="6"/>
  <c r="C10" i="6"/>
  <c r="I127" i="1"/>
  <c r="J127" i="1"/>
  <c r="I126" i="1"/>
  <c r="J126" i="1"/>
  <c r="I125" i="1"/>
  <c r="J125" i="1"/>
  <c r="I124" i="1"/>
  <c r="J124" i="1"/>
  <c r="I123" i="1"/>
  <c r="J123" i="1"/>
  <c r="I122" i="1"/>
  <c r="J122" i="1"/>
  <c r="I121" i="1"/>
  <c r="J121" i="1"/>
  <c r="H126" i="1"/>
  <c r="H127" i="1"/>
  <c r="H125" i="1"/>
  <c r="H124" i="1"/>
  <c r="H123" i="1"/>
  <c r="H122" i="1"/>
  <c r="H121" i="1"/>
  <c r="H120" i="1"/>
  <c r="I118" i="1"/>
  <c r="J118" i="1"/>
  <c r="I117" i="1"/>
  <c r="J117" i="1"/>
  <c r="I116" i="1"/>
  <c r="J116" i="1"/>
  <c r="I115" i="1"/>
  <c r="J115" i="1"/>
  <c r="I114" i="1"/>
  <c r="J114" i="1"/>
  <c r="I113" i="1"/>
  <c r="J113" i="1"/>
  <c r="J111" i="1"/>
  <c r="H118" i="1"/>
  <c r="H117" i="1"/>
  <c r="H116" i="1"/>
  <c r="H115" i="1"/>
  <c r="H114" i="1"/>
  <c r="H113" i="1"/>
  <c r="H112" i="1"/>
  <c r="H111" i="1"/>
  <c r="I109" i="1"/>
  <c r="J109" i="1"/>
  <c r="I108" i="1"/>
  <c r="J108" i="1"/>
  <c r="I107" i="1"/>
  <c r="J107" i="1"/>
  <c r="I106" i="1"/>
  <c r="J106" i="1"/>
  <c r="I105" i="1"/>
  <c r="J105" i="1"/>
  <c r="I104" i="1"/>
  <c r="J104" i="1"/>
  <c r="I102" i="1"/>
  <c r="J102" i="1"/>
  <c r="I103" i="1"/>
  <c r="J103" i="1"/>
  <c r="H104" i="1"/>
  <c r="H105" i="1"/>
  <c r="H106" i="1"/>
  <c r="H107" i="1"/>
  <c r="H108" i="1"/>
  <c r="H109" i="1"/>
  <c r="H103" i="1"/>
  <c r="H102" i="1"/>
  <c r="I100" i="1"/>
  <c r="J100" i="1"/>
  <c r="H30" i="1"/>
  <c r="V29" i="1" s="1"/>
  <c r="I30" i="1"/>
  <c r="N29" i="1"/>
  <c r="Q29" i="1"/>
  <c r="O29" i="1"/>
  <c r="R29" i="1" s="1"/>
  <c r="P29" i="1"/>
  <c r="S29" i="1"/>
  <c r="P21" i="1"/>
  <c r="S21" i="1" s="1"/>
  <c r="P24" i="1"/>
  <c r="S24" i="1" s="1"/>
  <c r="P25" i="1"/>
  <c r="S25" i="1" s="1"/>
  <c r="P26" i="1"/>
  <c r="S26" i="1" s="1"/>
  <c r="P27" i="1"/>
  <c r="S27" i="1" s="1"/>
  <c r="O26" i="1"/>
  <c r="R26" i="1" s="1"/>
  <c r="O27" i="1"/>
  <c r="R27" i="1" s="1"/>
  <c r="P22" i="1"/>
  <c r="S22" i="1" s="1"/>
  <c r="O21" i="1"/>
  <c r="R21" i="1" s="1"/>
  <c r="O22" i="1"/>
  <c r="R22" i="1" s="1"/>
  <c r="N21" i="1"/>
  <c r="Q21" i="1" s="1"/>
  <c r="N22" i="1"/>
  <c r="Q22" i="1" s="1"/>
  <c r="J10" i="1"/>
  <c r="J12" i="1"/>
  <c r="J8" i="1"/>
  <c r="C28" i="1"/>
  <c r="C25" i="1"/>
  <c r="C26" i="1"/>
  <c r="C27" i="1"/>
  <c r="C13" i="1"/>
  <c r="C14" i="1"/>
  <c r="C12" i="1"/>
  <c r="C7" i="1"/>
  <c r="C2" i="1"/>
  <c r="J4" i="1" s="1"/>
  <c r="K4" i="1" s="1"/>
  <c r="C3" i="1"/>
  <c r="C4" i="1"/>
  <c r="T29" i="1" l="1"/>
  <c r="U29" i="1"/>
  <c r="J29" i="1"/>
  <c r="W29" i="1"/>
  <c r="X29" i="1" s="1"/>
  <c r="J25" i="1"/>
  <c r="J28" i="1"/>
  <c r="O28" i="1"/>
  <c r="R28" i="1" s="1"/>
  <c r="J27" i="1"/>
  <c r="N27" i="1"/>
  <c r="Q27" i="1" s="1"/>
  <c r="T27" i="1" s="1"/>
  <c r="J26" i="1"/>
  <c r="N26" i="1"/>
  <c r="Q26" i="1" s="1"/>
  <c r="T26" i="1" s="1"/>
  <c r="O24" i="1"/>
  <c r="R24" i="1" s="1"/>
  <c r="U24" i="1" s="1"/>
  <c r="J24" i="1"/>
  <c r="N24" i="1"/>
  <c r="Q24" i="1" s="1"/>
  <c r="T24" i="1" s="1"/>
  <c r="J5" i="1"/>
  <c r="K5" i="1" s="1"/>
  <c r="J15" i="1"/>
  <c r="J14" i="1"/>
  <c r="J11" i="1"/>
  <c r="K11" i="1" s="1"/>
  <c r="J9" i="1"/>
  <c r="K9" i="1" s="1"/>
  <c r="J7" i="1"/>
  <c r="K7" i="1" s="1"/>
  <c r="J6" i="1"/>
  <c r="K6" i="1" s="1"/>
  <c r="J13" i="1"/>
  <c r="C17" i="1"/>
  <c r="C15" i="1"/>
  <c r="C16" i="1"/>
  <c r="W24" i="1"/>
  <c r="X24" i="1" s="1"/>
  <c r="W27" i="1"/>
  <c r="X27" i="1" s="1"/>
  <c r="W23" i="1"/>
  <c r="X23" i="1" s="1"/>
  <c r="W21" i="1"/>
  <c r="X21" i="1" s="1"/>
  <c r="W25" i="1"/>
  <c r="X25" i="1" s="1"/>
  <c r="W26" i="1"/>
  <c r="X26" i="1" s="1"/>
  <c r="W28" i="1"/>
  <c r="X28" i="1" s="1"/>
  <c r="W22" i="1"/>
  <c r="X22" i="1" s="1"/>
  <c r="W20" i="1"/>
  <c r="X20" i="1" s="1"/>
  <c r="C20" i="1"/>
  <c r="C22" i="1" s="1"/>
  <c r="P28" i="1"/>
  <c r="S28" i="1" s="1"/>
  <c r="V28" i="1" s="1"/>
  <c r="N28" i="1"/>
  <c r="Q28" i="1" s="1"/>
  <c r="T28" i="1" s="1"/>
  <c r="O25" i="1"/>
  <c r="R25" i="1" s="1"/>
  <c r="U25" i="1" s="1"/>
  <c r="N25" i="1"/>
  <c r="Q25" i="1" s="1"/>
  <c r="T25" i="1" s="1"/>
  <c r="P23" i="1"/>
  <c r="S23" i="1" s="1"/>
  <c r="V23" i="1" s="1"/>
  <c r="O23" i="1"/>
  <c r="R23" i="1" s="1"/>
  <c r="U23" i="1" s="1"/>
  <c r="N23" i="1"/>
  <c r="Q23" i="1" s="1"/>
  <c r="T23" i="1" s="1"/>
  <c r="J20" i="1"/>
  <c r="N20" i="1"/>
  <c r="Q20" i="1" s="1"/>
  <c r="T20" i="1" s="1"/>
  <c r="P20" i="1"/>
  <c r="S20" i="1" s="1"/>
  <c r="V20" i="1" s="1"/>
  <c r="O20" i="1"/>
  <c r="R20" i="1" s="1"/>
  <c r="U20" i="1" s="1"/>
  <c r="V24" i="1"/>
  <c r="V26" i="1"/>
  <c r="U22" i="1"/>
  <c r="V22" i="1"/>
  <c r="V21" i="1"/>
  <c r="U28" i="1"/>
  <c r="T22" i="1"/>
  <c r="T21" i="1"/>
  <c r="J23" i="1"/>
  <c r="J22" i="1"/>
  <c r="J21" i="1"/>
  <c r="V27" i="1"/>
  <c r="U26" i="1"/>
  <c r="U27" i="1"/>
  <c r="U21" i="1"/>
  <c r="V25" i="1"/>
  <c r="I77" i="1" l="1"/>
  <c r="H75" i="1"/>
  <c r="J81" i="1"/>
  <c r="I79" i="1"/>
  <c r="H79" i="1"/>
  <c r="H78" i="1"/>
  <c r="H81" i="1"/>
  <c r="J80" i="1"/>
  <c r="H82" i="1"/>
  <c r="I78" i="1"/>
  <c r="H80" i="1"/>
  <c r="I82" i="1"/>
  <c r="J82" i="1"/>
  <c r="I81" i="1"/>
  <c r="J79" i="1"/>
  <c r="J78" i="1"/>
  <c r="I80" i="1"/>
  <c r="J77" i="1"/>
  <c r="I76" i="1"/>
  <c r="J76" i="1"/>
  <c r="I75" i="1"/>
  <c r="J75" i="1"/>
  <c r="H77" i="1"/>
  <c r="H76" i="1"/>
  <c r="J73" i="1"/>
  <c r="J29" i="5" s="1"/>
  <c r="H73" i="1"/>
  <c r="D29" i="5" s="1"/>
  <c r="I73" i="1"/>
  <c r="G29" i="5" s="1"/>
  <c r="H88" i="1"/>
  <c r="I89" i="1"/>
  <c r="I86" i="1"/>
  <c r="J85" i="1"/>
  <c r="I90" i="1"/>
  <c r="H87" i="1"/>
  <c r="H86" i="1"/>
  <c r="H85" i="1"/>
  <c r="H84" i="1"/>
  <c r="J91" i="1"/>
  <c r="J89" i="1"/>
  <c r="J87" i="1"/>
  <c r="J88" i="1"/>
  <c r="I91" i="1"/>
  <c r="I84" i="1"/>
  <c r="I85" i="1"/>
  <c r="H90" i="1"/>
  <c r="J90" i="1"/>
  <c r="J84" i="1"/>
  <c r="J86" i="1"/>
  <c r="H91" i="1"/>
  <c r="H89" i="1"/>
  <c r="I88" i="1"/>
  <c r="I87" i="1"/>
  <c r="J99" i="1"/>
  <c r="H100" i="1"/>
  <c r="H99" i="1"/>
  <c r="I98" i="1"/>
  <c r="J98" i="1"/>
  <c r="H98" i="1"/>
  <c r="I97" i="1"/>
  <c r="H97" i="1"/>
  <c r="J96" i="1"/>
  <c r="I95" i="1"/>
  <c r="I94" i="1"/>
  <c r="J93" i="1"/>
  <c r="H96" i="1"/>
  <c r="H94" i="1"/>
  <c r="I99" i="1"/>
  <c r="J94" i="1"/>
  <c r="I93" i="1"/>
  <c r="H93" i="1"/>
  <c r="H95" i="1"/>
  <c r="J95" i="1"/>
  <c r="I96" i="1"/>
  <c r="J97" i="1"/>
  <c r="I46" i="1"/>
  <c r="G29" i="2" s="1"/>
  <c r="I44" i="1"/>
  <c r="F29" i="2" s="1"/>
  <c r="I43" i="1"/>
  <c r="G22" i="2" s="1"/>
  <c r="I42" i="1"/>
  <c r="F22" i="2" s="1"/>
  <c r="I41" i="1"/>
  <c r="F14" i="2" s="1"/>
  <c r="I40" i="1"/>
  <c r="F12" i="2" s="1"/>
  <c r="I39" i="1"/>
  <c r="F10" i="2" s="1"/>
  <c r="J39" i="1"/>
  <c r="I10" i="2" s="1"/>
  <c r="I45" i="1"/>
  <c r="F31" i="2" s="1"/>
  <c r="J72" i="1"/>
  <c r="I31" i="5" s="1"/>
  <c r="J70" i="1"/>
  <c r="J22" i="5" s="1"/>
  <c r="J69" i="1"/>
  <c r="I22" i="5" s="1"/>
  <c r="I70" i="1"/>
  <c r="G22" i="5" s="1"/>
  <c r="I72" i="1"/>
  <c r="F31" i="5" s="1"/>
  <c r="I69" i="1"/>
  <c r="F22" i="5" s="1"/>
  <c r="H72" i="1"/>
  <c r="C31" i="5" s="1"/>
  <c r="H70" i="1"/>
  <c r="D22" i="5" s="1"/>
  <c r="H69" i="1"/>
  <c r="C22" i="5" s="1"/>
  <c r="I64" i="1"/>
  <c r="G29" i="4" s="1"/>
  <c r="I63" i="1"/>
  <c r="F31" i="4" s="1"/>
  <c r="I61" i="1"/>
  <c r="G22" i="4" s="1"/>
  <c r="I60" i="1"/>
  <c r="F22" i="4" s="1"/>
  <c r="J64" i="1"/>
  <c r="I31" i="4" s="1"/>
  <c r="J63" i="1"/>
  <c r="J29" i="4" s="1"/>
  <c r="J61" i="1"/>
  <c r="J22" i="4" s="1"/>
  <c r="J60" i="1"/>
  <c r="I22" i="4" s="1"/>
  <c r="J55" i="1"/>
  <c r="J29" i="3" s="1"/>
  <c r="J53" i="1"/>
  <c r="I29" i="3" s="1"/>
  <c r="J52" i="1"/>
  <c r="J22" i="3" s="1"/>
  <c r="J51" i="1"/>
  <c r="I22" i="3" s="1"/>
  <c r="J50" i="1"/>
  <c r="I14" i="3" s="1"/>
  <c r="J49" i="1"/>
  <c r="I12" i="3" s="1"/>
  <c r="J48" i="1"/>
  <c r="I10" i="3" s="1"/>
  <c r="J54" i="1"/>
  <c r="I31" i="3" s="1"/>
  <c r="H64" i="1"/>
  <c r="D29" i="4" s="1"/>
  <c r="H63" i="1"/>
  <c r="C31" i="4" s="1"/>
  <c r="H61" i="1"/>
  <c r="D22" i="4" s="1"/>
  <c r="I53" i="1"/>
  <c r="F29" i="3" s="1"/>
  <c r="I52" i="1"/>
  <c r="G22" i="3" s="1"/>
  <c r="I51" i="1"/>
  <c r="F22" i="3" s="1"/>
  <c r="I50" i="1"/>
  <c r="F14" i="3" s="1"/>
  <c r="I49" i="1"/>
  <c r="F12" i="3" s="1"/>
  <c r="I48" i="1"/>
  <c r="F10" i="3" s="1"/>
  <c r="I54" i="1"/>
  <c r="F31" i="3" s="1"/>
  <c r="I58" i="1"/>
  <c r="F12" i="4" s="1"/>
  <c r="I57" i="1"/>
  <c r="F10" i="4" s="1"/>
  <c r="I59" i="1"/>
  <c r="F14" i="4" s="1"/>
  <c r="I62" i="1"/>
  <c r="F29" i="4" s="1"/>
  <c r="H60" i="1"/>
  <c r="C22" i="4" s="1"/>
  <c r="H59" i="1"/>
  <c r="C14" i="4" s="1"/>
  <c r="H57" i="1"/>
  <c r="C10" i="4" s="1"/>
  <c r="H62" i="1"/>
  <c r="C29" i="4" s="1"/>
  <c r="H58" i="1"/>
  <c r="C12" i="4" s="1"/>
  <c r="J58" i="1"/>
  <c r="I12" i="4" s="1"/>
  <c r="J62" i="1"/>
  <c r="I29" i="4" s="1"/>
  <c r="J59" i="1"/>
  <c r="I14" i="4" s="1"/>
  <c r="J57" i="1"/>
  <c r="I10" i="4" s="1"/>
  <c r="J67" i="1"/>
  <c r="I12" i="5" s="1"/>
  <c r="J66" i="1"/>
  <c r="I10" i="5" s="1"/>
  <c r="J71" i="1"/>
  <c r="I29" i="5" s="1"/>
  <c r="J68" i="1"/>
  <c r="I14" i="5" s="1"/>
  <c r="J41" i="1"/>
  <c r="I14" i="2" s="1"/>
  <c r="J40" i="1"/>
  <c r="I12" i="2" s="1"/>
  <c r="J44" i="1"/>
  <c r="I29" i="2" s="1"/>
  <c r="J46" i="1"/>
  <c r="J29" i="2" s="1"/>
  <c r="J45" i="1"/>
  <c r="I31" i="2" s="1"/>
  <c r="J43" i="1"/>
  <c r="J22" i="2" s="1"/>
  <c r="J42" i="1"/>
  <c r="I22" i="2" s="1"/>
  <c r="H71" i="1"/>
  <c r="C29" i="5" s="1"/>
  <c r="H68" i="1"/>
  <c r="C14" i="5" s="1"/>
  <c r="H67" i="1"/>
  <c r="C12" i="5" s="1"/>
  <c r="H66" i="1"/>
  <c r="C10" i="5" s="1"/>
  <c r="I66" i="1"/>
  <c r="F10" i="5" s="1"/>
  <c r="I71" i="1"/>
  <c r="F29" i="5" s="1"/>
  <c r="I67" i="1"/>
  <c r="F12" i="5" s="1"/>
  <c r="I68" i="1"/>
  <c r="F14" i="5" s="1"/>
  <c r="I55" i="1"/>
  <c r="G29" i="3" s="1"/>
  <c r="H39" i="1"/>
  <c r="C10" i="2" s="1"/>
  <c r="H40" i="1"/>
  <c r="C12" i="2" s="1"/>
  <c r="H41" i="1"/>
  <c r="C14" i="2" s="1"/>
  <c r="H42" i="1"/>
  <c r="C22" i="2" s="1"/>
  <c r="H43" i="1"/>
  <c r="D22" i="2" s="1"/>
  <c r="H44" i="1"/>
  <c r="C29" i="2" s="1"/>
  <c r="H45" i="1"/>
  <c r="C31" i="2" s="1"/>
  <c r="H46" i="1"/>
  <c r="D29" i="2" s="1"/>
  <c r="H48" i="1"/>
  <c r="C10" i="3" s="1"/>
  <c r="H49" i="1"/>
  <c r="C12" i="3" s="1"/>
  <c r="H50" i="1"/>
  <c r="C14" i="3" s="1"/>
  <c r="H51" i="1"/>
  <c r="C22" i="3" s="1"/>
  <c r="H52" i="1"/>
  <c r="D22" i="3" s="1"/>
  <c r="H53" i="1"/>
  <c r="C29" i="3" s="1"/>
  <c r="H54" i="1"/>
  <c r="C31" i="3" s="1"/>
  <c r="H55" i="1"/>
  <c r="D29" i="3" s="1"/>
</calcChain>
</file>

<file path=xl/sharedStrings.xml><?xml version="1.0" encoding="utf-8"?>
<sst xmlns="http://schemas.openxmlformats.org/spreadsheetml/2006/main" count="218" uniqueCount="77">
  <si>
    <t>Height factor (H)</t>
  </si>
  <si>
    <t>Material factor (M)</t>
  </si>
  <si>
    <t>concrete</t>
  </si>
  <si>
    <t>timber</t>
  </si>
  <si>
    <t>masonry</t>
  </si>
  <si>
    <t>h_eff</t>
  </si>
  <si>
    <t>h_max</t>
  </si>
  <si>
    <t>h_water</t>
  </si>
  <si>
    <t>h_floor</t>
  </si>
  <si>
    <t>low</t>
  </si>
  <si>
    <t>medium</t>
  </si>
  <si>
    <t>high</t>
  </si>
  <si>
    <t>factor</t>
  </si>
  <si>
    <t>height factor</t>
  </si>
  <si>
    <t>Time factor (T)</t>
  </si>
  <si>
    <t>t_max</t>
  </si>
  <si>
    <t>hours</t>
  </si>
  <si>
    <t>m</t>
  </si>
  <si>
    <t>-</t>
  </si>
  <si>
    <t>t</t>
  </si>
  <si>
    <t>time factor</t>
  </si>
  <si>
    <t>Protection factor (P)</t>
  </si>
  <si>
    <t>masonry factor</t>
  </si>
  <si>
    <t>concrete factor</t>
  </si>
  <si>
    <t>tile factor</t>
  </si>
  <si>
    <t>no protection</t>
  </si>
  <si>
    <t>Vulnerability score</t>
  </si>
  <si>
    <t>tile protection</t>
  </si>
  <si>
    <t>V</t>
  </si>
  <si>
    <t>V = M x(1-  h_floor/h_max)  x P</t>
  </si>
  <si>
    <t>Hazard score</t>
  </si>
  <si>
    <t>Damage score</t>
  </si>
  <si>
    <t>D = M x (0.7 x H + 0.3 x T) x P</t>
  </si>
  <si>
    <t>HZ = 0.7 x (h_water / h_max) + 0.3 x (t / t_max)^2</t>
  </si>
  <si>
    <t>CL</t>
  </si>
  <si>
    <t>CM</t>
  </si>
  <si>
    <t>CH</t>
  </si>
  <si>
    <t>ML</t>
  </si>
  <si>
    <t>MM</t>
  </si>
  <si>
    <t>MH</t>
  </si>
  <si>
    <t>MLT</t>
  </si>
  <si>
    <t>MMT</t>
  </si>
  <si>
    <t>MHT</t>
  </si>
  <si>
    <t>TL</t>
  </si>
  <si>
    <t>TM</t>
  </si>
  <si>
    <t>TH</t>
  </si>
  <si>
    <t>TLC</t>
  </si>
  <si>
    <t>TMC</t>
  </si>
  <si>
    <t>THC</t>
  </si>
  <si>
    <t>TLM</t>
  </si>
  <si>
    <t>TMM</t>
  </si>
  <si>
    <t>THM</t>
  </si>
  <si>
    <t>L</t>
  </si>
  <si>
    <t>M</t>
  </si>
  <si>
    <t>H</t>
  </si>
  <si>
    <t>H-factors</t>
  </si>
  <si>
    <t>T-factor</t>
  </si>
  <si>
    <t>CLP</t>
  </si>
  <si>
    <t>CMP</t>
  </si>
  <si>
    <t>CHP</t>
  </si>
  <si>
    <t>MLP</t>
  </si>
  <si>
    <t>MMP</t>
  </si>
  <si>
    <t>MHP</t>
  </si>
  <si>
    <t>plastered</t>
  </si>
  <si>
    <t>&lt;-- plastered</t>
  </si>
  <si>
    <t>cluster 1</t>
  </si>
  <si>
    <t>cluster 2</t>
  </si>
  <si>
    <t>cluster 3</t>
  </si>
  <si>
    <t>cluster 4</t>
  </si>
  <si>
    <t>cluster 5</t>
  </si>
  <si>
    <t>cluster 6</t>
  </si>
  <si>
    <t>cluster 7</t>
  </si>
  <si>
    <t>cluster 8</t>
  </si>
  <si>
    <t>cluster 9</t>
  </si>
  <si>
    <t>cluster 10</t>
  </si>
  <si>
    <t>cluster5</t>
  </si>
  <si>
    <t>cluster6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</si>
</sst>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rgb="FF00B050"/>
      </bottom>
      <diagonal/>
    </border>
    <border>
      <left/>
      <right style="thick">
        <color rgb="FF00B050"/>
      </right>
      <top/>
      <bottom/>
      <diagonal/>
    </border>
    <border>
      <left style="thick">
        <color rgb="FF00B050"/>
      </left>
      <right/>
      <top/>
      <bottom style="thick">
        <color rgb="FF00B050"/>
      </bottom>
      <diagonal/>
    </border>
    <border>
      <left/>
      <right style="thick">
        <color rgb="FF00B050"/>
      </right>
      <top/>
      <bottom style="thick">
        <color rgb="FF00B050"/>
      </bottom>
      <diagonal/>
    </border>
    <border>
      <left/>
      <right style="thick">
        <color rgb="FF00B050"/>
      </right>
      <top style="thick">
        <color rgb="FF00B050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/>
    <xf numFmtId="0" fontId="0" fillId="4" borderId="0" xfId="0" applyFill="1"/>
    <xf numFmtId="164" fontId="0" fillId="0" borderId="0" xfId="0" applyNumberFormat="1"/>
    <xf numFmtId="165" fontId="0" fillId="0" borderId="0" xfId="0" applyNumberFormat="1"/>
    <xf numFmtId="0" fontId="0" fillId="5" borderId="0" xfId="0" applyFill="1"/>
    <xf numFmtId="0" fontId="0" fillId="8" borderId="0" xfId="0" applyFill="1"/>
    <xf numFmtId="0" fontId="2" fillId="4" borderId="0" xfId="0" applyFont="1" applyFill="1"/>
    <xf numFmtId="0" fontId="0" fillId="3" borderId="0" xfId="0" applyFill="1"/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3" fillId="0" borderId="0" xfId="0" applyFont="1"/>
    <xf numFmtId="0" fontId="3" fillId="0" borderId="6" xfId="0" applyFont="1" applyBorder="1"/>
    <xf numFmtId="0" fontId="3" fillId="0" borderId="3" xfId="0" applyFont="1" applyBorder="1"/>
    <xf numFmtId="164" fontId="3" fillId="0" borderId="0" xfId="0" applyNumberFormat="1" applyFont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horizontal="center"/>
    </xf>
    <xf numFmtId="0" fontId="3" fillId="0" borderId="4" xfId="0" applyFont="1" applyBorder="1"/>
    <xf numFmtId="0" fontId="3" fillId="0" borderId="2" xfId="0" applyFont="1" applyBorder="1"/>
    <xf numFmtId="0" fontId="3" fillId="0" borderId="5" xfId="0" applyFont="1" applyBorder="1"/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1" fillId="7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CEB82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137161</xdr:colOff>
      <xdr:row>3</xdr:row>
      <xdr:rowOff>60961</xdr:rowOff>
    </xdr:from>
    <xdr:to>
      <xdr:col>3</xdr:col>
      <xdr:colOff>480061</xdr:colOff>
      <xdr:row>8</xdr:row>
      <xdr:rowOff>89481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D55243-5F2D-061C-A2BE-8E7261D43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761" y="243841"/>
          <a:ext cx="952499" cy="973400"/>
        </a:xfrm>
        <a:prstGeom prst="rect">
          <a:avLst/>
        </a:prstGeom>
      </xdr:spPr>
    </xdr:pic>
    <xdr:clientData/>
  </xdr:twoCellAnchor>
  <xdr:twoCellAnchor editAs="oneCell">
    <xdr:from>
      <xdr:col>5</xdr:col>
      <xdr:colOff>140347</xdr:colOff>
      <xdr:row>3</xdr:row>
      <xdr:rowOff>18459</xdr:rowOff>
    </xdr:from>
    <xdr:to>
      <xdr:col>6</xdr:col>
      <xdr:colOff>482943</xdr:colOff>
      <xdr:row>8</xdr:row>
      <xdr:rowOff>90954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9C4A8F1-7087-8C46-AD72-33E2F3F97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1176" y="400977"/>
          <a:ext cx="952804" cy="1013732"/>
        </a:xfrm>
        <a:prstGeom prst="rect">
          <a:avLst/>
        </a:prstGeom>
      </xdr:spPr>
    </xdr:pic>
    <xdr:clientData/>
  </xdr:twoCellAnchor>
  <xdr:twoCellAnchor editAs="oneCell">
    <xdr:from>
      <xdr:col>8</xdr:col>
      <xdr:colOff>148757</xdr:colOff>
      <xdr:row>2</xdr:row>
      <xdr:rowOff>179116</xdr:rowOff>
    </xdr:from>
    <xdr:to>
      <xdr:col>9</xdr:col>
      <xdr:colOff>464488</xdr:colOff>
      <xdr:row>8</xdr:row>
      <xdr:rowOff>89616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8BB1A6D-9030-2F17-ACB3-C199D97C5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370375"/>
          <a:ext cx="925937" cy="1037637"/>
        </a:xfrm>
        <a:prstGeom prst="rect">
          <a:avLst/>
        </a:prstGeom>
      </xdr:spPr>
    </xdr:pic>
    <xdr:clientData/>
  </xdr:twoCellAnchor>
  <xdr:twoCellAnchor editAs="oneCell">
    <xdr:from>
      <xdr:col>2</xdr:col>
      <xdr:colOff>80886</xdr:colOff>
      <xdr:row>15</xdr:row>
      <xdr:rowOff>50840</xdr:rowOff>
    </xdr:from>
    <xdr:to>
      <xdr:col>3</xdr:col>
      <xdr:colOff>549921</xdr:colOff>
      <xdr:row>19</xdr:row>
      <xdr:rowOff>124019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62DFC6B-8301-A31E-5AE5-C4C533B62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393" y="2440586"/>
          <a:ext cx="1077204" cy="802982"/>
        </a:xfrm>
        <a:prstGeom prst="rect">
          <a:avLst/>
        </a:prstGeom>
      </xdr:spPr>
    </xdr:pic>
    <xdr:clientData/>
  </xdr:twoCellAnchor>
  <xdr:twoCellAnchor editAs="oneCell">
    <xdr:from>
      <xdr:col>8</xdr:col>
      <xdr:colOff>79469</xdr:colOff>
      <xdr:row>14</xdr:row>
      <xdr:rowOff>140328</xdr:rowOff>
    </xdr:from>
    <xdr:to>
      <xdr:col>9</xdr:col>
      <xdr:colOff>525147</xdr:colOff>
      <xdr:row>19</xdr:row>
      <xdr:rowOff>119398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C1D96F2-0BD0-603F-6F16-10E8AABB93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579920" y="2347624"/>
          <a:ext cx="1053847" cy="891323"/>
        </a:xfrm>
        <a:prstGeom prst="rect">
          <a:avLst/>
        </a:prstGeom>
      </xdr:spPr>
    </xdr:pic>
    <xdr:clientData/>
  </xdr:twoCellAnchor>
  <xdr:twoCellAnchor editAs="oneCell">
    <xdr:from>
      <xdr:col>5</xdr:col>
      <xdr:colOff>69827</xdr:colOff>
      <xdr:row>15</xdr:row>
      <xdr:rowOff>9499</xdr:rowOff>
    </xdr:from>
    <xdr:to>
      <xdr:col>6</xdr:col>
      <xdr:colOff>524982</xdr:colOff>
      <xdr:row>19</xdr:row>
      <xdr:rowOff>126341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21A8460-54D1-6CA0-E68D-B1FBD619A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2306" y="2399245"/>
          <a:ext cx="1063325" cy="846645"/>
        </a:xfrm>
        <a:prstGeom prst="rect">
          <a:avLst/>
        </a:prstGeom>
      </xdr:spPr>
    </xdr:pic>
    <xdr:clientData/>
  </xdr:twoCellAnchor>
  <xdr:twoCellAnchor editAs="oneCell">
    <xdr:from>
      <xdr:col>2</xdr:col>
      <xdr:colOff>66552</xdr:colOff>
      <xdr:row>23</xdr:row>
      <xdr:rowOff>39989</xdr:rowOff>
    </xdr:from>
    <xdr:to>
      <xdr:col>3</xdr:col>
      <xdr:colOff>542997</xdr:colOff>
      <xdr:row>27</xdr:row>
      <xdr:rowOff>120979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967C90A4-95C9-2D5F-9FA1-8A35D4161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7174" y="3792308"/>
          <a:ext cx="1086652" cy="809595"/>
        </a:xfrm>
        <a:prstGeom prst="rect">
          <a:avLst/>
        </a:prstGeom>
      </xdr:spPr>
    </xdr:pic>
    <xdr:clientData/>
  </xdr:twoCellAnchor>
  <xdr:twoCellAnchor editAs="oneCell">
    <xdr:from>
      <xdr:col>5</xdr:col>
      <xdr:colOff>77756</xdr:colOff>
      <xdr:row>23</xdr:row>
      <xdr:rowOff>17182</xdr:rowOff>
    </xdr:from>
    <xdr:to>
      <xdr:col>6</xdr:col>
      <xdr:colOff>539101</xdr:colOff>
      <xdr:row>27</xdr:row>
      <xdr:rowOff>137759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35BD5ADB-68AF-48E9-C1F3-FF018C7C0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0226" y="3769501"/>
          <a:ext cx="1071553" cy="849182"/>
        </a:xfrm>
        <a:prstGeom prst="rect">
          <a:avLst/>
        </a:prstGeom>
      </xdr:spPr>
    </xdr:pic>
    <xdr:clientData/>
  </xdr:twoCellAnchor>
  <xdr:twoCellAnchor editAs="oneCell">
    <xdr:from>
      <xdr:col>8</xdr:col>
      <xdr:colOff>74204</xdr:colOff>
      <xdr:row>22</xdr:row>
      <xdr:rowOff>119909</xdr:rowOff>
    </xdr:from>
    <xdr:to>
      <xdr:col>9</xdr:col>
      <xdr:colOff>553642</xdr:colOff>
      <xdr:row>27</xdr:row>
      <xdr:rowOff>134720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CF1AB399-1692-FE05-0375-71E885090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8523" y="3690076"/>
          <a:ext cx="1089645" cy="925568"/>
        </a:xfrm>
        <a:prstGeom prst="rect">
          <a:avLst/>
        </a:prstGeom>
      </xdr:spPr>
    </xdr:pic>
    <xdr:clientData/>
  </xdr:twoCellAnchor>
  <xdr:twoCellAnchor editAs="oneCell">
    <xdr:from>
      <xdr:col>1</xdr:col>
      <xdr:colOff>110850</xdr:colOff>
      <xdr:row>29</xdr:row>
      <xdr:rowOff>14154</xdr:rowOff>
    </xdr:from>
    <xdr:to>
      <xdr:col>1</xdr:col>
      <xdr:colOff>469770</xdr:colOff>
      <xdr:row>31</xdr:row>
      <xdr:rowOff>77850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8464783A-6932-6993-6C92-FA44C931C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8163" y="4904637"/>
          <a:ext cx="358920" cy="339715"/>
        </a:xfrm>
        <a:prstGeom prst="rect">
          <a:avLst/>
        </a:prstGeom>
      </xdr:spPr>
    </xdr:pic>
    <xdr:clientData/>
  </xdr:twoCellAnchor>
  <xdr:twoCellAnchor>
    <xdr:from>
      <xdr:col>1</xdr:col>
      <xdr:colOff>119284</xdr:colOff>
      <xdr:row>12</xdr:row>
      <xdr:rowOff>70462</xdr:rowOff>
    </xdr:from>
    <xdr:to>
      <xdr:col>1</xdr:col>
      <xdr:colOff>512879</xdr:colOff>
      <xdr:row>14</xdr:row>
      <xdr:rowOff>24883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F8162A4-50B2-400D-9121-C650F4B4F9D8}"/>
            </a:ext>
          </a:extLst>
        </xdr:cNvPr>
        <xdr:cNvSpPr/>
      </xdr:nvSpPr>
      <xdr:spPr>
        <a:xfrm>
          <a:off x="728884" y="2170725"/>
          <a:ext cx="393595" cy="225883"/>
        </a:xfrm>
        <a:prstGeom prst="rect">
          <a:avLst/>
        </a:prstGeom>
        <a:solidFill>
          <a:srgbClr val="FCEB82"/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1</xdr:col>
      <xdr:colOff>120314</xdr:colOff>
      <xdr:row>10</xdr:row>
      <xdr:rowOff>66120</xdr:rowOff>
    </xdr:from>
    <xdr:to>
      <xdr:col>1</xdr:col>
      <xdr:colOff>513909</xdr:colOff>
      <xdr:row>12</xdr:row>
      <xdr:rowOff>20540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2F738CD3-9D83-4274-8411-783CAEFA2141}"/>
            </a:ext>
          </a:extLst>
        </xdr:cNvPr>
        <xdr:cNvSpPr/>
      </xdr:nvSpPr>
      <xdr:spPr>
        <a:xfrm>
          <a:off x="729914" y="1894920"/>
          <a:ext cx="393595" cy="225883"/>
        </a:xfrm>
        <a:prstGeom prst="rect">
          <a:avLst/>
        </a:prstGeom>
        <a:solidFill>
          <a:schemeClr val="bg1">
            <a:lumMod val="75000"/>
          </a:schemeClr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137161</xdr:colOff>
      <xdr:row>3</xdr:row>
      <xdr:rowOff>60961</xdr:rowOff>
    </xdr:from>
    <xdr:to>
      <xdr:col>3</xdr:col>
      <xdr:colOff>480061</xdr:colOff>
      <xdr:row>8</xdr:row>
      <xdr:rowOff>89481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32EB04-02DC-4DB3-AD99-46E26E5E7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1" y="624841"/>
          <a:ext cx="952500" cy="942920"/>
        </a:xfrm>
        <a:prstGeom prst="rect">
          <a:avLst/>
        </a:prstGeom>
      </xdr:spPr>
    </xdr:pic>
    <xdr:clientData/>
  </xdr:twoCellAnchor>
  <xdr:twoCellAnchor editAs="oneCell">
    <xdr:from>
      <xdr:col>5</xdr:col>
      <xdr:colOff>140347</xdr:colOff>
      <xdr:row>3</xdr:row>
      <xdr:rowOff>18459</xdr:rowOff>
    </xdr:from>
    <xdr:to>
      <xdr:col>6</xdr:col>
      <xdr:colOff>482943</xdr:colOff>
      <xdr:row>8</xdr:row>
      <xdr:rowOff>90954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74B11F1-2F03-4642-B13F-6450D27DF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0667" y="582339"/>
          <a:ext cx="952196" cy="986895"/>
        </a:xfrm>
        <a:prstGeom prst="rect">
          <a:avLst/>
        </a:prstGeom>
      </xdr:spPr>
    </xdr:pic>
    <xdr:clientData/>
  </xdr:twoCellAnchor>
  <xdr:twoCellAnchor editAs="oneCell">
    <xdr:from>
      <xdr:col>8</xdr:col>
      <xdr:colOff>148757</xdr:colOff>
      <xdr:row>2</xdr:row>
      <xdr:rowOff>179116</xdr:rowOff>
    </xdr:from>
    <xdr:to>
      <xdr:col>9</xdr:col>
      <xdr:colOff>464488</xdr:colOff>
      <xdr:row>8</xdr:row>
      <xdr:rowOff>89616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4B2EA54-83F6-4498-8BC8-FB6D1BB82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0197" y="552496"/>
          <a:ext cx="925331" cy="1015400"/>
        </a:xfrm>
        <a:prstGeom prst="rect">
          <a:avLst/>
        </a:prstGeom>
      </xdr:spPr>
    </xdr:pic>
    <xdr:clientData/>
  </xdr:twoCellAnchor>
  <xdr:twoCellAnchor editAs="oneCell">
    <xdr:from>
      <xdr:col>2</xdr:col>
      <xdr:colOff>80886</xdr:colOff>
      <xdr:row>15</xdr:row>
      <xdr:rowOff>50840</xdr:rowOff>
    </xdr:from>
    <xdr:to>
      <xdr:col>3</xdr:col>
      <xdr:colOff>549921</xdr:colOff>
      <xdr:row>19</xdr:row>
      <xdr:rowOff>124019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C6BCF2F-66D2-4E61-A1A2-12EE79D43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0086" y="2626400"/>
          <a:ext cx="1078635" cy="804699"/>
        </a:xfrm>
        <a:prstGeom prst="rect">
          <a:avLst/>
        </a:prstGeom>
      </xdr:spPr>
    </xdr:pic>
    <xdr:clientData/>
  </xdr:twoCellAnchor>
  <xdr:twoCellAnchor editAs="oneCell">
    <xdr:from>
      <xdr:col>8</xdr:col>
      <xdr:colOff>79469</xdr:colOff>
      <xdr:row>14</xdr:row>
      <xdr:rowOff>140328</xdr:rowOff>
    </xdr:from>
    <xdr:to>
      <xdr:col>9</xdr:col>
      <xdr:colOff>525147</xdr:colOff>
      <xdr:row>19</xdr:row>
      <xdr:rowOff>119398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85C9388-D7A5-4EB2-9B00-57E4857D7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80909" y="2533008"/>
          <a:ext cx="1055278" cy="893470"/>
        </a:xfrm>
        <a:prstGeom prst="rect">
          <a:avLst/>
        </a:prstGeom>
      </xdr:spPr>
    </xdr:pic>
    <xdr:clientData/>
  </xdr:twoCellAnchor>
  <xdr:twoCellAnchor editAs="oneCell">
    <xdr:from>
      <xdr:col>5</xdr:col>
      <xdr:colOff>69827</xdr:colOff>
      <xdr:row>15</xdr:row>
      <xdr:rowOff>9499</xdr:rowOff>
    </xdr:from>
    <xdr:to>
      <xdr:col>6</xdr:col>
      <xdr:colOff>524982</xdr:colOff>
      <xdr:row>19</xdr:row>
      <xdr:rowOff>126341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1BAC7A6-E025-41E2-A4B8-5A0FEA174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0147" y="2585059"/>
          <a:ext cx="1064755" cy="848362"/>
        </a:xfrm>
        <a:prstGeom prst="rect">
          <a:avLst/>
        </a:prstGeom>
      </xdr:spPr>
    </xdr:pic>
    <xdr:clientData/>
  </xdr:twoCellAnchor>
  <xdr:twoCellAnchor editAs="oneCell">
    <xdr:from>
      <xdr:col>2</xdr:col>
      <xdr:colOff>66552</xdr:colOff>
      <xdr:row>23</xdr:row>
      <xdr:rowOff>39989</xdr:rowOff>
    </xdr:from>
    <xdr:to>
      <xdr:col>3</xdr:col>
      <xdr:colOff>542997</xdr:colOff>
      <xdr:row>27</xdr:row>
      <xdr:rowOff>120979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A79751E-CD72-4DE9-BD4E-7AC5D430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5752" y="3987149"/>
          <a:ext cx="1086045" cy="812510"/>
        </a:xfrm>
        <a:prstGeom prst="rect">
          <a:avLst/>
        </a:prstGeom>
      </xdr:spPr>
    </xdr:pic>
    <xdr:clientData/>
  </xdr:twoCellAnchor>
  <xdr:twoCellAnchor editAs="oneCell">
    <xdr:from>
      <xdr:col>5</xdr:col>
      <xdr:colOff>77756</xdr:colOff>
      <xdr:row>23</xdr:row>
      <xdr:rowOff>17182</xdr:rowOff>
    </xdr:from>
    <xdr:to>
      <xdr:col>6</xdr:col>
      <xdr:colOff>539101</xdr:colOff>
      <xdr:row>27</xdr:row>
      <xdr:rowOff>137759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66AABA4-4B8D-4E1C-87CB-96BF79DC2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076" y="3964342"/>
          <a:ext cx="1070945" cy="852097"/>
        </a:xfrm>
        <a:prstGeom prst="rect">
          <a:avLst/>
        </a:prstGeom>
      </xdr:spPr>
    </xdr:pic>
    <xdr:clientData/>
  </xdr:twoCellAnchor>
  <xdr:twoCellAnchor editAs="oneCell">
    <xdr:from>
      <xdr:col>8</xdr:col>
      <xdr:colOff>74204</xdr:colOff>
      <xdr:row>22</xdr:row>
      <xdr:rowOff>119909</xdr:rowOff>
    </xdr:from>
    <xdr:to>
      <xdr:col>9</xdr:col>
      <xdr:colOff>553642</xdr:colOff>
      <xdr:row>27</xdr:row>
      <xdr:rowOff>134720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B0271D1-6518-4A0A-A57F-8815A76CC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75644" y="3884189"/>
          <a:ext cx="1089038" cy="929211"/>
        </a:xfrm>
        <a:prstGeom prst="rect">
          <a:avLst/>
        </a:prstGeom>
      </xdr:spPr>
    </xdr:pic>
    <xdr:clientData/>
  </xdr:twoCellAnchor>
  <xdr:twoCellAnchor editAs="oneCell">
    <xdr:from>
      <xdr:col>1</xdr:col>
      <xdr:colOff>110850</xdr:colOff>
      <xdr:row>29</xdr:row>
      <xdr:rowOff>14154</xdr:rowOff>
    </xdr:from>
    <xdr:to>
      <xdr:col>1</xdr:col>
      <xdr:colOff>469770</xdr:colOff>
      <xdr:row>31</xdr:row>
      <xdr:rowOff>77850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6AA5E27-90A3-45D0-8504-AE28163FA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450" y="5058594"/>
          <a:ext cx="358920" cy="338016"/>
        </a:xfrm>
        <a:prstGeom prst="rect">
          <a:avLst/>
        </a:prstGeom>
      </xdr:spPr>
    </xdr:pic>
    <xdr:clientData/>
  </xdr:twoCellAnchor>
  <xdr:twoCellAnchor>
    <xdr:from>
      <xdr:col>1</xdr:col>
      <xdr:colOff>116840</xdr:colOff>
      <xdr:row>12</xdr:row>
      <xdr:rowOff>70805</xdr:rowOff>
    </xdr:from>
    <xdr:to>
      <xdr:col>1</xdr:col>
      <xdr:colOff>510435</xdr:colOff>
      <xdr:row>14</xdr:row>
      <xdr:rowOff>18065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9B52023-B25B-41D0-8704-9CD7C999F725}"/>
            </a:ext>
          </a:extLst>
        </xdr:cNvPr>
        <xdr:cNvSpPr/>
      </xdr:nvSpPr>
      <xdr:spPr>
        <a:xfrm>
          <a:off x="726440" y="2194245"/>
          <a:ext cx="393595" cy="221580"/>
        </a:xfrm>
        <a:prstGeom prst="rect">
          <a:avLst/>
        </a:prstGeom>
        <a:solidFill>
          <a:srgbClr val="FCEB82"/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1</xdr:col>
      <xdr:colOff>117870</xdr:colOff>
      <xdr:row>10</xdr:row>
      <xdr:rowOff>71120</xdr:rowOff>
    </xdr:from>
    <xdr:to>
      <xdr:col>1</xdr:col>
      <xdr:colOff>511465</xdr:colOff>
      <xdr:row>12</xdr:row>
      <xdr:rowOff>20883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2A1E2566-59EA-4B56-B8BB-87E9B79CBBEF}"/>
            </a:ext>
          </a:extLst>
        </xdr:cNvPr>
        <xdr:cNvSpPr/>
      </xdr:nvSpPr>
      <xdr:spPr>
        <a:xfrm>
          <a:off x="727470" y="1920240"/>
          <a:ext cx="393595" cy="224083"/>
        </a:xfrm>
        <a:prstGeom prst="rect">
          <a:avLst/>
        </a:prstGeom>
        <a:solidFill>
          <a:schemeClr val="bg1">
            <a:lumMod val="75000"/>
          </a:schemeClr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137161</xdr:colOff>
      <xdr:row>3</xdr:row>
      <xdr:rowOff>60961</xdr:rowOff>
    </xdr:from>
    <xdr:to>
      <xdr:col>3</xdr:col>
      <xdr:colOff>480061</xdr:colOff>
      <xdr:row>8</xdr:row>
      <xdr:rowOff>89481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F08A15-E319-438A-8972-8575996FA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8010" y="624632"/>
          <a:ext cx="948325" cy="967972"/>
        </a:xfrm>
        <a:prstGeom prst="rect">
          <a:avLst/>
        </a:prstGeom>
      </xdr:spPr>
    </xdr:pic>
    <xdr:clientData/>
  </xdr:twoCellAnchor>
  <xdr:twoCellAnchor editAs="oneCell">
    <xdr:from>
      <xdr:col>5</xdr:col>
      <xdr:colOff>140347</xdr:colOff>
      <xdr:row>3</xdr:row>
      <xdr:rowOff>18459</xdr:rowOff>
    </xdr:from>
    <xdr:to>
      <xdr:col>6</xdr:col>
      <xdr:colOff>482943</xdr:colOff>
      <xdr:row>8</xdr:row>
      <xdr:rowOff>90954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AD3AF9-C36E-4081-BEB3-BDE70FB39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0667" y="582339"/>
          <a:ext cx="952196" cy="986895"/>
        </a:xfrm>
        <a:prstGeom prst="rect">
          <a:avLst/>
        </a:prstGeom>
      </xdr:spPr>
    </xdr:pic>
    <xdr:clientData/>
  </xdr:twoCellAnchor>
  <xdr:twoCellAnchor editAs="oneCell">
    <xdr:from>
      <xdr:col>8</xdr:col>
      <xdr:colOff>148757</xdr:colOff>
      <xdr:row>2</xdr:row>
      <xdr:rowOff>179116</xdr:rowOff>
    </xdr:from>
    <xdr:to>
      <xdr:col>9</xdr:col>
      <xdr:colOff>464488</xdr:colOff>
      <xdr:row>8</xdr:row>
      <xdr:rowOff>89616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D602078-744C-493C-91EC-AC60E2CAA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0197" y="552496"/>
          <a:ext cx="925331" cy="1015400"/>
        </a:xfrm>
        <a:prstGeom prst="rect">
          <a:avLst/>
        </a:prstGeom>
      </xdr:spPr>
    </xdr:pic>
    <xdr:clientData/>
  </xdr:twoCellAnchor>
  <xdr:twoCellAnchor editAs="oneCell">
    <xdr:from>
      <xdr:col>2</xdr:col>
      <xdr:colOff>80886</xdr:colOff>
      <xdr:row>15</xdr:row>
      <xdr:rowOff>50840</xdr:rowOff>
    </xdr:from>
    <xdr:to>
      <xdr:col>3</xdr:col>
      <xdr:colOff>549921</xdr:colOff>
      <xdr:row>19</xdr:row>
      <xdr:rowOff>124019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FB88C8A-2ACE-4B2E-9FC3-C6B2E5E33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0086" y="2626400"/>
          <a:ext cx="1078635" cy="804699"/>
        </a:xfrm>
        <a:prstGeom prst="rect">
          <a:avLst/>
        </a:prstGeom>
      </xdr:spPr>
    </xdr:pic>
    <xdr:clientData/>
  </xdr:twoCellAnchor>
  <xdr:twoCellAnchor editAs="oneCell">
    <xdr:from>
      <xdr:col>8</xdr:col>
      <xdr:colOff>79469</xdr:colOff>
      <xdr:row>14</xdr:row>
      <xdr:rowOff>140328</xdr:rowOff>
    </xdr:from>
    <xdr:to>
      <xdr:col>9</xdr:col>
      <xdr:colOff>525147</xdr:colOff>
      <xdr:row>19</xdr:row>
      <xdr:rowOff>119398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50DF1B-AAFC-492F-A20D-F049724A1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80909" y="2533008"/>
          <a:ext cx="1055278" cy="893470"/>
        </a:xfrm>
        <a:prstGeom prst="rect">
          <a:avLst/>
        </a:prstGeom>
      </xdr:spPr>
    </xdr:pic>
    <xdr:clientData/>
  </xdr:twoCellAnchor>
  <xdr:twoCellAnchor editAs="oneCell">
    <xdr:from>
      <xdr:col>5</xdr:col>
      <xdr:colOff>69827</xdr:colOff>
      <xdr:row>15</xdr:row>
      <xdr:rowOff>9499</xdr:rowOff>
    </xdr:from>
    <xdr:to>
      <xdr:col>6</xdr:col>
      <xdr:colOff>524982</xdr:colOff>
      <xdr:row>19</xdr:row>
      <xdr:rowOff>126341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79B04A-2923-4551-AB76-5599F457E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0147" y="2585059"/>
          <a:ext cx="1064755" cy="848362"/>
        </a:xfrm>
        <a:prstGeom prst="rect">
          <a:avLst/>
        </a:prstGeom>
      </xdr:spPr>
    </xdr:pic>
    <xdr:clientData/>
  </xdr:twoCellAnchor>
  <xdr:twoCellAnchor editAs="oneCell">
    <xdr:from>
      <xdr:col>2</xdr:col>
      <xdr:colOff>66552</xdr:colOff>
      <xdr:row>23</xdr:row>
      <xdr:rowOff>39989</xdr:rowOff>
    </xdr:from>
    <xdr:to>
      <xdr:col>3</xdr:col>
      <xdr:colOff>542997</xdr:colOff>
      <xdr:row>27</xdr:row>
      <xdr:rowOff>120979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A10A191-A356-4CDC-9BAD-EB399523F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5752" y="3987149"/>
          <a:ext cx="1086045" cy="812510"/>
        </a:xfrm>
        <a:prstGeom prst="rect">
          <a:avLst/>
        </a:prstGeom>
      </xdr:spPr>
    </xdr:pic>
    <xdr:clientData/>
  </xdr:twoCellAnchor>
  <xdr:twoCellAnchor editAs="oneCell">
    <xdr:from>
      <xdr:col>5</xdr:col>
      <xdr:colOff>77756</xdr:colOff>
      <xdr:row>23</xdr:row>
      <xdr:rowOff>17182</xdr:rowOff>
    </xdr:from>
    <xdr:to>
      <xdr:col>6</xdr:col>
      <xdr:colOff>539101</xdr:colOff>
      <xdr:row>27</xdr:row>
      <xdr:rowOff>137759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0ECCC2-3609-464B-BFFE-089A7BF5E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076" y="3964342"/>
          <a:ext cx="1070945" cy="852097"/>
        </a:xfrm>
        <a:prstGeom prst="rect">
          <a:avLst/>
        </a:prstGeom>
      </xdr:spPr>
    </xdr:pic>
    <xdr:clientData/>
  </xdr:twoCellAnchor>
  <xdr:twoCellAnchor editAs="oneCell">
    <xdr:from>
      <xdr:col>8</xdr:col>
      <xdr:colOff>74204</xdr:colOff>
      <xdr:row>22</xdr:row>
      <xdr:rowOff>119909</xdr:rowOff>
    </xdr:from>
    <xdr:to>
      <xdr:col>9</xdr:col>
      <xdr:colOff>553642</xdr:colOff>
      <xdr:row>27</xdr:row>
      <xdr:rowOff>134720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E6440B6-8F43-4422-8EAF-8FE1D2F29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75644" y="3884189"/>
          <a:ext cx="1089038" cy="929211"/>
        </a:xfrm>
        <a:prstGeom prst="rect">
          <a:avLst/>
        </a:prstGeom>
      </xdr:spPr>
    </xdr:pic>
    <xdr:clientData/>
  </xdr:twoCellAnchor>
  <xdr:twoCellAnchor editAs="oneCell">
    <xdr:from>
      <xdr:col>1</xdr:col>
      <xdr:colOff>110850</xdr:colOff>
      <xdr:row>29</xdr:row>
      <xdr:rowOff>14154</xdr:rowOff>
    </xdr:from>
    <xdr:to>
      <xdr:col>1</xdr:col>
      <xdr:colOff>469770</xdr:colOff>
      <xdr:row>31</xdr:row>
      <xdr:rowOff>77850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DB28F2F-2FDA-4173-A37E-B10AED8AD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450" y="5058594"/>
          <a:ext cx="358920" cy="338016"/>
        </a:xfrm>
        <a:prstGeom prst="rect">
          <a:avLst/>
        </a:prstGeom>
      </xdr:spPr>
    </xdr:pic>
    <xdr:clientData/>
  </xdr:twoCellAnchor>
  <xdr:twoCellAnchor>
    <xdr:from>
      <xdr:col>1</xdr:col>
      <xdr:colOff>100264</xdr:colOff>
      <xdr:row>12</xdr:row>
      <xdr:rowOff>73938</xdr:rowOff>
    </xdr:from>
    <xdr:to>
      <xdr:col>1</xdr:col>
      <xdr:colOff>493859</xdr:colOff>
      <xdr:row>14</xdr:row>
      <xdr:rowOff>21198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305CD9AA-2E43-439B-A739-9668CA9519BD}"/>
            </a:ext>
          </a:extLst>
        </xdr:cNvPr>
        <xdr:cNvSpPr/>
      </xdr:nvSpPr>
      <xdr:spPr>
        <a:xfrm>
          <a:off x="710437" y="2199517"/>
          <a:ext cx="393595" cy="222267"/>
        </a:xfrm>
        <a:prstGeom prst="rect">
          <a:avLst/>
        </a:prstGeom>
        <a:solidFill>
          <a:srgbClr val="FCEB82"/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1</xdr:col>
      <xdr:colOff>101294</xdr:colOff>
      <xdr:row>10</xdr:row>
      <xdr:rowOff>74483</xdr:rowOff>
    </xdr:from>
    <xdr:to>
      <xdr:col>1</xdr:col>
      <xdr:colOff>494889</xdr:colOff>
      <xdr:row>12</xdr:row>
      <xdr:rowOff>24016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EBF583BF-1296-45D7-87BA-C40A1253D625}"/>
            </a:ext>
          </a:extLst>
        </xdr:cNvPr>
        <xdr:cNvSpPr/>
      </xdr:nvSpPr>
      <xdr:spPr>
        <a:xfrm>
          <a:off x="711467" y="1925054"/>
          <a:ext cx="393595" cy="224541"/>
        </a:xfrm>
        <a:prstGeom prst="rect">
          <a:avLst/>
        </a:prstGeom>
        <a:solidFill>
          <a:schemeClr val="bg1">
            <a:lumMod val="75000"/>
          </a:schemeClr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137161</xdr:colOff>
      <xdr:row>3</xdr:row>
      <xdr:rowOff>60961</xdr:rowOff>
    </xdr:from>
    <xdr:to>
      <xdr:col>3</xdr:col>
      <xdr:colOff>480061</xdr:colOff>
      <xdr:row>8</xdr:row>
      <xdr:rowOff>89481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14E67D-3AD6-47DC-8EA8-6CFAAA46D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1" y="624841"/>
          <a:ext cx="952500" cy="942920"/>
        </a:xfrm>
        <a:prstGeom prst="rect">
          <a:avLst/>
        </a:prstGeom>
      </xdr:spPr>
    </xdr:pic>
    <xdr:clientData/>
  </xdr:twoCellAnchor>
  <xdr:twoCellAnchor editAs="oneCell">
    <xdr:from>
      <xdr:col>5</xdr:col>
      <xdr:colOff>140347</xdr:colOff>
      <xdr:row>3</xdr:row>
      <xdr:rowOff>18459</xdr:rowOff>
    </xdr:from>
    <xdr:to>
      <xdr:col>6</xdr:col>
      <xdr:colOff>482943</xdr:colOff>
      <xdr:row>8</xdr:row>
      <xdr:rowOff>90954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366AAA-33BD-48E3-8E1E-2286D6F98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0667" y="582339"/>
          <a:ext cx="952196" cy="986895"/>
        </a:xfrm>
        <a:prstGeom prst="rect">
          <a:avLst/>
        </a:prstGeom>
      </xdr:spPr>
    </xdr:pic>
    <xdr:clientData/>
  </xdr:twoCellAnchor>
  <xdr:twoCellAnchor editAs="oneCell">
    <xdr:from>
      <xdr:col>8</xdr:col>
      <xdr:colOff>148757</xdr:colOff>
      <xdr:row>2</xdr:row>
      <xdr:rowOff>179116</xdr:rowOff>
    </xdr:from>
    <xdr:to>
      <xdr:col>9</xdr:col>
      <xdr:colOff>464488</xdr:colOff>
      <xdr:row>8</xdr:row>
      <xdr:rowOff>89616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1FACEC9-F753-4CC5-8984-0A12737D3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0197" y="552496"/>
          <a:ext cx="925331" cy="1015400"/>
        </a:xfrm>
        <a:prstGeom prst="rect">
          <a:avLst/>
        </a:prstGeom>
      </xdr:spPr>
    </xdr:pic>
    <xdr:clientData/>
  </xdr:twoCellAnchor>
  <xdr:twoCellAnchor editAs="oneCell">
    <xdr:from>
      <xdr:col>2</xdr:col>
      <xdr:colOff>80886</xdr:colOff>
      <xdr:row>15</xdr:row>
      <xdr:rowOff>50840</xdr:rowOff>
    </xdr:from>
    <xdr:to>
      <xdr:col>3</xdr:col>
      <xdr:colOff>549921</xdr:colOff>
      <xdr:row>19</xdr:row>
      <xdr:rowOff>124019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02A34D9-65F8-4958-90DF-CE7040BC1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0086" y="2626400"/>
          <a:ext cx="1078635" cy="804699"/>
        </a:xfrm>
        <a:prstGeom prst="rect">
          <a:avLst/>
        </a:prstGeom>
      </xdr:spPr>
    </xdr:pic>
    <xdr:clientData/>
  </xdr:twoCellAnchor>
  <xdr:twoCellAnchor editAs="oneCell">
    <xdr:from>
      <xdr:col>8</xdr:col>
      <xdr:colOff>79469</xdr:colOff>
      <xdr:row>14</xdr:row>
      <xdr:rowOff>140328</xdr:rowOff>
    </xdr:from>
    <xdr:to>
      <xdr:col>9</xdr:col>
      <xdr:colOff>525147</xdr:colOff>
      <xdr:row>19</xdr:row>
      <xdr:rowOff>119398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A897E45-796F-45F9-B3DA-6531D136F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80909" y="2533008"/>
          <a:ext cx="1055278" cy="893470"/>
        </a:xfrm>
        <a:prstGeom prst="rect">
          <a:avLst/>
        </a:prstGeom>
      </xdr:spPr>
    </xdr:pic>
    <xdr:clientData/>
  </xdr:twoCellAnchor>
  <xdr:twoCellAnchor editAs="oneCell">
    <xdr:from>
      <xdr:col>5</xdr:col>
      <xdr:colOff>69827</xdr:colOff>
      <xdr:row>15</xdr:row>
      <xdr:rowOff>9499</xdr:rowOff>
    </xdr:from>
    <xdr:to>
      <xdr:col>6</xdr:col>
      <xdr:colOff>524982</xdr:colOff>
      <xdr:row>19</xdr:row>
      <xdr:rowOff>126341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3ABDB20-6EC9-4024-B58B-5F1730945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0147" y="2585059"/>
          <a:ext cx="1064755" cy="848362"/>
        </a:xfrm>
        <a:prstGeom prst="rect">
          <a:avLst/>
        </a:prstGeom>
      </xdr:spPr>
    </xdr:pic>
    <xdr:clientData/>
  </xdr:twoCellAnchor>
  <xdr:twoCellAnchor editAs="oneCell">
    <xdr:from>
      <xdr:col>2</xdr:col>
      <xdr:colOff>66552</xdr:colOff>
      <xdr:row>23</xdr:row>
      <xdr:rowOff>39989</xdr:rowOff>
    </xdr:from>
    <xdr:to>
      <xdr:col>3</xdr:col>
      <xdr:colOff>542997</xdr:colOff>
      <xdr:row>27</xdr:row>
      <xdr:rowOff>120979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B8026B4-A0BE-4A69-8DC4-33DBF98E7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5752" y="3987149"/>
          <a:ext cx="1086045" cy="812510"/>
        </a:xfrm>
        <a:prstGeom prst="rect">
          <a:avLst/>
        </a:prstGeom>
      </xdr:spPr>
    </xdr:pic>
    <xdr:clientData/>
  </xdr:twoCellAnchor>
  <xdr:twoCellAnchor editAs="oneCell">
    <xdr:from>
      <xdr:col>5</xdr:col>
      <xdr:colOff>77756</xdr:colOff>
      <xdr:row>23</xdr:row>
      <xdr:rowOff>17182</xdr:rowOff>
    </xdr:from>
    <xdr:to>
      <xdr:col>6</xdr:col>
      <xdr:colOff>539101</xdr:colOff>
      <xdr:row>27</xdr:row>
      <xdr:rowOff>137759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2A75D35-9137-43A5-8758-AD9F1E8AA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076" y="3964342"/>
          <a:ext cx="1070945" cy="852097"/>
        </a:xfrm>
        <a:prstGeom prst="rect">
          <a:avLst/>
        </a:prstGeom>
      </xdr:spPr>
    </xdr:pic>
    <xdr:clientData/>
  </xdr:twoCellAnchor>
  <xdr:twoCellAnchor editAs="oneCell">
    <xdr:from>
      <xdr:col>8</xdr:col>
      <xdr:colOff>74204</xdr:colOff>
      <xdr:row>22</xdr:row>
      <xdr:rowOff>119909</xdr:rowOff>
    </xdr:from>
    <xdr:to>
      <xdr:col>9</xdr:col>
      <xdr:colOff>553642</xdr:colOff>
      <xdr:row>27</xdr:row>
      <xdr:rowOff>134720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B4ACBD9-6FF8-4440-B84B-D5D09A26A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75644" y="3884189"/>
          <a:ext cx="1089038" cy="929211"/>
        </a:xfrm>
        <a:prstGeom prst="rect">
          <a:avLst/>
        </a:prstGeom>
      </xdr:spPr>
    </xdr:pic>
    <xdr:clientData/>
  </xdr:twoCellAnchor>
  <xdr:twoCellAnchor editAs="oneCell">
    <xdr:from>
      <xdr:col>1</xdr:col>
      <xdr:colOff>110850</xdr:colOff>
      <xdr:row>29</xdr:row>
      <xdr:rowOff>14154</xdr:rowOff>
    </xdr:from>
    <xdr:to>
      <xdr:col>1</xdr:col>
      <xdr:colOff>469770</xdr:colOff>
      <xdr:row>31</xdr:row>
      <xdr:rowOff>77850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48076C4-F296-4E0D-BF80-4B63BFAFF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450" y="5058594"/>
          <a:ext cx="358920" cy="338016"/>
        </a:xfrm>
        <a:prstGeom prst="rect">
          <a:avLst/>
        </a:prstGeom>
      </xdr:spPr>
    </xdr:pic>
    <xdr:clientData/>
  </xdr:twoCellAnchor>
  <xdr:twoCellAnchor>
    <xdr:from>
      <xdr:col>1</xdr:col>
      <xdr:colOff>100061</xdr:colOff>
      <xdr:row>12</xdr:row>
      <xdr:rowOff>68034</xdr:rowOff>
    </xdr:from>
    <xdr:to>
      <xdr:col>1</xdr:col>
      <xdr:colOff>493656</xdr:colOff>
      <xdr:row>14</xdr:row>
      <xdr:rowOff>15294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9E90AAB8-199F-4470-AD18-4371FB3C0C68}"/>
            </a:ext>
          </a:extLst>
        </xdr:cNvPr>
        <xdr:cNvSpPr/>
      </xdr:nvSpPr>
      <xdr:spPr>
        <a:xfrm>
          <a:off x="708122" y="2207792"/>
          <a:ext cx="393595" cy="224350"/>
        </a:xfrm>
        <a:prstGeom prst="rect">
          <a:avLst/>
        </a:prstGeom>
        <a:solidFill>
          <a:srgbClr val="FCEB82"/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1</xdr:col>
      <xdr:colOff>101091</xdr:colOff>
      <xdr:row>10</xdr:row>
      <xdr:rowOff>69272</xdr:rowOff>
    </xdr:from>
    <xdr:to>
      <xdr:col>1</xdr:col>
      <xdr:colOff>494686</xdr:colOff>
      <xdr:row>12</xdr:row>
      <xdr:rowOff>18112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8F4B421A-2794-4781-A1F6-5C1B1A7C66F3}"/>
            </a:ext>
          </a:extLst>
        </xdr:cNvPr>
        <xdr:cNvSpPr/>
      </xdr:nvSpPr>
      <xdr:spPr>
        <a:xfrm>
          <a:off x="709152" y="1931939"/>
          <a:ext cx="393595" cy="225931"/>
        </a:xfrm>
        <a:prstGeom prst="rect">
          <a:avLst/>
        </a:prstGeom>
        <a:solidFill>
          <a:schemeClr val="bg1">
            <a:lumMod val="75000"/>
          </a:schemeClr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137161</xdr:colOff>
      <xdr:row>3</xdr:row>
      <xdr:rowOff>60961</xdr:rowOff>
    </xdr:from>
    <xdr:to>
      <xdr:col>3</xdr:col>
      <xdr:colOff>480061</xdr:colOff>
      <xdr:row>8</xdr:row>
      <xdr:rowOff>89481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670F72-959B-433D-B1B5-E1BFF1AC3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1" y="624841"/>
          <a:ext cx="952500" cy="942920"/>
        </a:xfrm>
        <a:prstGeom prst="rect">
          <a:avLst/>
        </a:prstGeom>
      </xdr:spPr>
    </xdr:pic>
    <xdr:clientData/>
  </xdr:twoCellAnchor>
  <xdr:twoCellAnchor editAs="oneCell">
    <xdr:from>
      <xdr:col>5</xdr:col>
      <xdr:colOff>140347</xdr:colOff>
      <xdr:row>3</xdr:row>
      <xdr:rowOff>18459</xdr:rowOff>
    </xdr:from>
    <xdr:to>
      <xdr:col>6</xdr:col>
      <xdr:colOff>482943</xdr:colOff>
      <xdr:row>8</xdr:row>
      <xdr:rowOff>90954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6ED6B9-1F53-48CE-BDB9-11FF38E444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0667" y="582339"/>
          <a:ext cx="952196" cy="986895"/>
        </a:xfrm>
        <a:prstGeom prst="rect">
          <a:avLst/>
        </a:prstGeom>
      </xdr:spPr>
    </xdr:pic>
    <xdr:clientData/>
  </xdr:twoCellAnchor>
  <xdr:twoCellAnchor editAs="oneCell">
    <xdr:from>
      <xdr:col>8</xdr:col>
      <xdr:colOff>148757</xdr:colOff>
      <xdr:row>2</xdr:row>
      <xdr:rowOff>179116</xdr:rowOff>
    </xdr:from>
    <xdr:to>
      <xdr:col>9</xdr:col>
      <xdr:colOff>464488</xdr:colOff>
      <xdr:row>8</xdr:row>
      <xdr:rowOff>89616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3A2453F-B7ED-42DF-B8D5-C79C085EF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0197" y="552496"/>
          <a:ext cx="925331" cy="1015400"/>
        </a:xfrm>
        <a:prstGeom prst="rect">
          <a:avLst/>
        </a:prstGeom>
      </xdr:spPr>
    </xdr:pic>
    <xdr:clientData/>
  </xdr:twoCellAnchor>
  <xdr:twoCellAnchor editAs="oneCell">
    <xdr:from>
      <xdr:col>2</xdr:col>
      <xdr:colOff>80886</xdr:colOff>
      <xdr:row>15</xdr:row>
      <xdr:rowOff>50840</xdr:rowOff>
    </xdr:from>
    <xdr:to>
      <xdr:col>3</xdr:col>
      <xdr:colOff>549921</xdr:colOff>
      <xdr:row>19</xdr:row>
      <xdr:rowOff>124019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587B2DE-A8C2-4BBD-8575-3FA51700B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0086" y="2626400"/>
          <a:ext cx="1078635" cy="804699"/>
        </a:xfrm>
        <a:prstGeom prst="rect">
          <a:avLst/>
        </a:prstGeom>
      </xdr:spPr>
    </xdr:pic>
    <xdr:clientData/>
  </xdr:twoCellAnchor>
  <xdr:twoCellAnchor editAs="oneCell">
    <xdr:from>
      <xdr:col>8</xdr:col>
      <xdr:colOff>79469</xdr:colOff>
      <xdr:row>14</xdr:row>
      <xdr:rowOff>140328</xdr:rowOff>
    </xdr:from>
    <xdr:to>
      <xdr:col>9</xdr:col>
      <xdr:colOff>525147</xdr:colOff>
      <xdr:row>19</xdr:row>
      <xdr:rowOff>119398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C2DD0E8-49B5-4B3C-8DF2-17B849235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80909" y="2533008"/>
          <a:ext cx="1055278" cy="893470"/>
        </a:xfrm>
        <a:prstGeom prst="rect">
          <a:avLst/>
        </a:prstGeom>
      </xdr:spPr>
    </xdr:pic>
    <xdr:clientData/>
  </xdr:twoCellAnchor>
  <xdr:twoCellAnchor editAs="oneCell">
    <xdr:from>
      <xdr:col>5</xdr:col>
      <xdr:colOff>69827</xdr:colOff>
      <xdr:row>15</xdr:row>
      <xdr:rowOff>9499</xdr:rowOff>
    </xdr:from>
    <xdr:to>
      <xdr:col>6</xdr:col>
      <xdr:colOff>524982</xdr:colOff>
      <xdr:row>19</xdr:row>
      <xdr:rowOff>126341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18EA0EA-78D3-4C8C-8AE1-3FAA25200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0147" y="2585059"/>
          <a:ext cx="1064755" cy="848362"/>
        </a:xfrm>
        <a:prstGeom prst="rect">
          <a:avLst/>
        </a:prstGeom>
      </xdr:spPr>
    </xdr:pic>
    <xdr:clientData/>
  </xdr:twoCellAnchor>
  <xdr:twoCellAnchor editAs="oneCell">
    <xdr:from>
      <xdr:col>2</xdr:col>
      <xdr:colOff>66552</xdr:colOff>
      <xdr:row>23</xdr:row>
      <xdr:rowOff>39989</xdr:rowOff>
    </xdr:from>
    <xdr:to>
      <xdr:col>3</xdr:col>
      <xdr:colOff>542997</xdr:colOff>
      <xdr:row>27</xdr:row>
      <xdr:rowOff>120979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0329A3A-BA27-4860-965A-AA7F93964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5752" y="3987149"/>
          <a:ext cx="1086045" cy="812510"/>
        </a:xfrm>
        <a:prstGeom prst="rect">
          <a:avLst/>
        </a:prstGeom>
      </xdr:spPr>
    </xdr:pic>
    <xdr:clientData/>
  </xdr:twoCellAnchor>
  <xdr:twoCellAnchor editAs="oneCell">
    <xdr:from>
      <xdr:col>5</xdr:col>
      <xdr:colOff>77756</xdr:colOff>
      <xdr:row>23</xdr:row>
      <xdr:rowOff>17182</xdr:rowOff>
    </xdr:from>
    <xdr:to>
      <xdr:col>6</xdr:col>
      <xdr:colOff>539101</xdr:colOff>
      <xdr:row>27</xdr:row>
      <xdr:rowOff>137759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FF296B6-62F3-42BE-ABE6-193FC1BD8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076" y="3964342"/>
          <a:ext cx="1070945" cy="852097"/>
        </a:xfrm>
        <a:prstGeom prst="rect">
          <a:avLst/>
        </a:prstGeom>
      </xdr:spPr>
    </xdr:pic>
    <xdr:clientData/>
  </xdr:twoCellAnchor>
  <xdr:twoCellAnchor editAs="oneCell">
    <xdr:from>
      <xdr:col>8</xdr:col>
      <xdr:colOff>74204</xdr:colOff>
      <xdr:row>22</xdr:row>
      <xdr:rowOff>119909</xdr:rowOff>
    </xdr:from>
    <xdr:to>
      <xdr:col>9</xdr:col>
      <xdr:colOff>553642</xdr:colOff>
      <xdr:row>27</xdr:row>
      <xdr:rowOff>134720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CF87F49-20A7-4996-8CCC-FC6D7CB0F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75644" y="3884189"/>
          <a:ext cx="1089038" cy="929211"/>
        </a:xfrm>
        <a:prstGeom prst="rect">
          <a:avLst/>
        </a:prstGeom>
      </xdr:spPr>
    </xdr:pic>
    <xdr:clientData/>
  </xdr:twoCellAnchor>
  <xdr:twoCellAnchor editAs="oneCell">
    <xdr:from>
      <xdr:col>1</xdr:col>
      <xdr:colOff>110850</xdr:colOff>
      <xdr:row>29</xdr:row>
      <xdr:rowOff>14154</xdr:rowOff>
    </xdr:from>
    <xdr:to>
      <xdr:col>1</xdr:col>
      <xdr:colOff>469770</xdr:colOff>
      <xdr:row>31</xdr:row>
      <xdr:rowOff>77850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84CD8B-8150-4B2A-A1AA-700253407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450" y="5058594"/>
          <a:ext cx="358920" cy="338016"/>
        </a:xfrm>
        <a:prstGeom prst="rect">
          <a:avLst/>
        </a:prstGeom>
      </xdr:spPr>
    </xdr:pic>
    <xdr:clientData/>
  </xdr:twoCellAnchor>
  <xdr:twoCellAnchor>
    <xdr:from>
      <xdr:col>1</xdr:col>
      <xdr:colOff>108104</xdr:colOff>
      <xdr:row>12</xdr:row>
      <xdr:rowOff>68643</xdr:rowOff>
    </xdr:from>
    <xdr:to>
      <xdr:col>1</xdr:col>
      <xdr:colOff>501699</xdr:colOff>
      <xdr:row>14</xdr:row>
      <xdr:rowOff>26257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3CE925F4-9A37-49A0-9CB5-1A3849AEED49}"/>
            </a:ext>
          </a:extLst>
        </xdr:cNvPr>
        <xdr:cNvSpPr/>
      </xdr:nvSpPr>
      <xdr:spPr>
        <a:xfrm>
          <a:off x="717704" y="2193776"/>
          <a:ext cx="393595" cy="231370"/>
        </a:xfrm>
        <a:prstGeom prst="rect">
          <a:avLst/>
        </a:prstGeom>
        <a:solidFill>
          <a:srgbClr val="FCEB82"/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1</xdr:col>
      <xdr:colOff>109134</xdr:colOff>
      <xdr:row>10</xdr:row>
      <xdr:rowOff>61106</xdr:rowOff>
    </xdr:from>
    <xdr:to>
      <xdr:col>1</xdr:col>
      <xdr:colOff>502729</xdr:colOff>
      <xdr:row>12</xdr:row>
      <xdr:rowOff>18721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81F34693-C1CC-4377-85BD-F53FD78FCDC9}"/>
            </a:ext>
          </a:extLst>
        </xdr:cNvPr>
        <xdr:cNvSpPr/>
      </xdr:nvSpPr>
      <xdr:spPr>
        <a:xfrm>
          <a:off x="718734" y="1912484"/>
          <a:ext cx="393595" cy="231370"/>
        </a:xfrm>
        <a:prstGeom prst="rect">
          <a:avLst/>
        </a:prstGeom>
        <a:solidFill>
          <a:schemeClr val="bg1">
            <a:lumMod val="75000"/>
          </a:schemeClr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137161</xdr:colOff>
      <xdr:row>3</xdr:row>
      <xdr:rowOff>60961</xdr:rowOff>
    </xdr:from>
    <xdr:to>
      <xdr:col>3</xdr:col>
      <xdr:colOff>480061</xdr:colOff>
      <xdr:row>8</xdr:row>
      <xdr:rowOff>89481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FF5BFB-0ABA-4B20-89FB-3EF6FDF05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1" y="624841"/>
          <a:ext cx="952500" cy="942920"/>
        </a:xfrm>
        <a:prstGeom prst="rect">
          <a:avLst/>
        </a:prstGeom>
      </xdr:spPr>
    </xdr:pic>
    <xdr:clientData/>
  </xdr:twoCellAnchor>
  <xdr:twoCellAnchor editAs="oneCell">
    <xdr:from>
      <xdr:col>5</xdr:col>
      <xdr:colOff>140347</xdr:colOff>
      <xdr:row>3</xdr:row>
      <xdr:rowOff>18459</xdr:rowOff>
    </xdr:from>
    <xdr:to>
      <xdr:col>6</xdr:col>
      <xdr:colOff>482943</xdr:colOff>
      <xdr:row>8</xdr:row>
      <xdr:rowOff>90954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454866-74BB-4A6C-89AB-491646417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0667" y="582339"/>
          <a:ext cx="952196" cy="986895"/>
        </a:xfrm>
        <a:prstGeom prst="rect">
          <a:avLst/>
        </a:prstGeom>
      </xdr:spPr>
    </xdr:pic>
    <xdr:clientData/>
  </xdr:twoCellAnchor>
  <xdr:twoCellAnchor editAs="oneCell">
    <xdr:from>
      <xdr:col>8</xdr:col>
      <xdr:colOff>148757</xdr:colOff>
      <xdr:row>2</xdr:row>
      <xdr:rowOff>179116</xdr:rowOff>
    </xdr:from>
    <xdr:to>
      <xdr:col>9</xdr:col>
      <xdr:colOff>464488</xdr:colOff>
      <xdr:row>8</xdr:row>
      <xdr:rowOff>89616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5EA7899-4C42-45C5-8083-C5654750F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0197" y="552496"/>
          <a:ext cx="925331" cy="1015400"/>
        </a:xfrm>
        <a:prstGeom prst="rect">
          <a:avLst/>
        </a:prstGeom>
      </xdr:spPr>
    </xdr:pic>
    <xdr:clientData/>
  </xdr:twoCellAnchor>
  <xdr:twoCellAnchor editAs="oneCell">
    <xdr:from>
      <xdr:col>2</xdr:col>
      <xdr:colOff>80886</xdr:colOff>
      <xdr:row>15</xdr:row>
      <xdr:rowOff>50840</xdr:rowOff>
    </xdr:from>
    <xdr:to>
      <xdr:col>3</xdr:col>
      <xdr:colOff>549921</xdr:colOff>
      <xdr:row>19</xdr:row>
      <xdr:rowOff>124019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B8FF201-8F46-47E3-92D0-52B481BB2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0086" y="2626400"/>
          <a:ext cx="1078635" cy="804699"/>
        </a:xfrm>
        <a:prstGeom prst="rect">
          <a:avLst/>
        </a:prstGeom>
      </xdr:spPr>
    </xdr:pic>
    <xdr:clientData/>
  </xdr:twoCellAnchor>
  <xdr:twoCellAnchor editAs="oneCell">
    <xdr:from>
      <xdr:col>8</xdr:col>
      <xdr:colOff>79469</xdr:colOff>
      <xdr:row>14</xdr:row>
      <xdr:rowOff>140328</xdr:rowOff>
    </xdr:from>
    <xdr:to>
      <xdr:col>9</xdr:col>
      <xdr:colOff>525147</xdr:colOff>
      <xdr:row>19</xdr:row>
      <xdr:rowOff>119398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AAECD5F-E9C8-4EF4-937A-D17E5C2EC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80909" y="2533008"/>
          <a:ext cx="1055278" cy="893470"/>
        </a:xfrm>
        <a:prstGeom prst="rect">
          <a:avLst/>
        </a:prstGeom>
      </xdr:spPr>
    </xdr:pic>
    <xdr:clientData/>
  </xdr:twoCellAnchor>
  <xdr:twoCellAnchor editAs="oneCell">
    <xdr:from>
      <xdr:col>5</xdr:col>
      <xdr:colOff>69827</xdr:colOff>
      <xdr:row>15</xdr:row>
      <xdr:rowOff>9499</xdr:rowOff>
    </xdr:from>
    <xdr:to>
      <xdr:col>6</xdr:col>
      <xdr:colOff>524982</xdr:colOff>
      <xdr:row>19</xdr:row>
      <xdr:rowOff>126341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DB0B276-0FDB-48F5-91B2-70DD2E2B8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0147" y="2585059"/>
          <a:ext cx="1064755" cy="848362"/>
        </a:xfrm>
        <a:prstGeom prst="rect">
          <a:avLst/>
        </a:prstGeom>
      </xdr:spPr>
    </xdr:pic>
    <xdr:clientData/>
  </xdr:twoCellAnchor>
  <xdr:twoCellAnchor editAs="oneCell">
    <xdr:from>
      <xdr:col>2</xdr:col>
      <xdr:colOff>66552</xdr:colOff>
      <xdr:row>23</xdr:row>
      <xdr:rowOff>39989</xdr:rowOff>
    </xdr:from>
    <xdr:to>
      <xdr:col>3</xdr:col>
      <xdr:colOff>542997</xdr:colOff>
      <xdr:row>27</xdr:row>
      <xdr:rowOff>120979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87BA8CF-D66C-4780-A85C-E226EABE8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5752" y="3987149"/>
          <a:ext cx="1086045" cy="812510"/>
        </a:xfrm>
        <a:prstGeom prst="rect">
          <a:avLst/>
        </a:prstGeom>
      </xdr:spPr>
    </xdr:pic>
    <xdr:clientData/>
  </xdr:twoCellAnchor>
  <xdr:twoCellAnchor editAs="oneCell">
    <xdr:from>
      <xdr:col>5</xdr:col>
      <xdr:colOff>77756</xdr:colOff>
      <xdr:row>23</xdr:row>
      <xdr:rowOff>17182</xdr:rowOff>
    </xdr:from>
    <xdr:to>
      <xdr:col>6</xdr:col>
      <xdr:colOff>539101</xdr:colOff>
      <xdr:row>27</xdr:row>
      <xdr:rowOff>137759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93720E7-D49C-45D6-9740-426DD5F01F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076" y="3964342"/>
          <a:ext cx="1070945" cy="852097"/>
        </a:xfrm>
        <a:prstGeom prst="rect">
          <a:avLst/>
        </a:prstGeom>
      </xdr:spPr>
    </xdr:pic>
    <xdr:clientData/>
  </xdr:twoCellAnchor>
  <xdr:twoCellAnchor editAs="oneCell">
    <xdr:from>
      <xdr:col>8</xdr:col>
      <xdr:colOff>74204</xdr:colOff>
      <xdr:row>22</xdr:row>
      <xdr:rowOff>119909</xdr:rowOff>
    </xdr:from>
    <xdr:to>
      <xdr:col>9</xdr:col>
      <xdr:colOff>553642</xdr:colOff>
      <xdr:row>27</xdr:row>
      <xdr:rowOff>134720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4E2A59B-3A7D-4F5E-8E8E-EFA9557E0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75644" y="3884189"/>
          <a:ext cx="1089038" cy="929211"/>
        </a:xfrm>
        <a:prstGeom prst="rect">
          <a:avLst/>
        </a:prstGeom>
      </xdr:spPr>
    </xdr:pic>
    <xdr:clientData/>
  </xdr:twoCellAnchor>
  <xdr:twoCellAnchor editAs="oneCell">
    <xdr:from>
      <xdr:col>1</xdr:col>
      <xdr:colOff>110850</xdr:colOff>
      <xdr:row>29</xdr:row>
      <xdr:rowOff>14154</xdr:rowOff>
    </xdr:from>
    <xdr:to>
      <xdr:col>1</xdr:col>
      <xdr:colOff>469770</xdr:colOff>
      <xdr:row>31</xdr:row>
      <xdr:rowOff>77850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EE989E8-3BCF-4186-BD7C-6E776BEC7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450" y="5058594"/>
          <a:ext cx="358920" cy="338016"/>
        </a:xfrm>
        <a:prstGeom prst="rect">
          <a:avLst/>
        </a:prstGeom>
      </xdr:spPr>
    </xdr:pic>
    <xdr:clientData/>
  </xdr:twoCellAnchor>
  <xdr:twoCellAnchor>
    <xdr:from>
      <xdr:col>1</xdr:col>
      <xdr:colOff>102018</xdr:colOff>
      <xdr:row>12</xdr:row>
      <xdr:rowOff>70532</xdr:rowOff>
    </xdr:from>
    <xdr:to>
      <xdr:col>1</xdr:col>
      <xdr:colOff>495613</xdr:colOff>
      <xdr:row>14</xdr:row>
      <xdr:rowOff>25190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C68500F2-8B00-4A23-B65B-510F70D01FDC}"/>
            </a:ext>
          </a:extLst>
        </xdr:cNvPr>
        <xdr:cNvSpPr/>
      </xdr:nvSpPr>
      <xdr:spPr>
        <a:xfrm>
          <a:off x="712878" y="2189648"/>
          <a:ext cx="393595" cy="228600"/>
        </a:xfrm>
        <a:prstGeom prst="rect">
          <a:avLst/>
        </a:prstGeom>
        <a:solidFill>
          <a:srgbClr val="FCEB82"/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1</xdr:col>
      <xdr:colOff>103048</xdr:colOff>
      <xdr:row>10</xdr:row>
      <xdr:rowOff>65952</xdr:rowOff>
    </xdr:from>
    <xdr:to>
      <xdr:col>1</xdr:col>
      <xdr:colOff>496643</xdr:colOff>
      <xdr:row>12</xdr:row>
      <xdr:rowOff>20610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FAA60E59-C923-49ED-9712-468407D7F567}"/>
            </a:ext>
          </a:extLst>
        </xdr:cNvPr>
        <xdr:cNvSpPr/>
      </xdr:nvSpPr>
      <xdr:spPr>
        <a:xfrm>
          <a:off x="713232" y="1916941"/>
          <a:ext cx="393595" cy="229094"/>
        </a:xfrm>
        <a:prstGeom prst="rect">
          <a:avLst/>
        </a:prstGeom>
        <a:solidFill>
          <a:schemeClr val="bg1">
            <a:lumMod val="75000"/>
          </a:schemeClr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137161</xdr:colOff>
      <xdr:row>3</xdr:row>
      <xdr:rowOff>60961</xdr:rowOff>
    </xdr:from>
    <xdr:to>
      <xdr:col>3</xdr:col>
      <xdr:colOff>480061</xdr:colOff>
      <xdr:row>8</xdr:row>
      <xdr:rowOff>89481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58EA13-0BBA-4E2C-8C3B-BAA4C2114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1" y="624841"/>
          <a:ext cx="952500" cy="942920"/>
        </a:xfrm>
        <a:prstGeom prst="rect">
          <a:avLst/>
        </a:prstGeom>
      </xdr:spPr>
    </xdr:pic>
    <xdr:clientData/>
  </xdr:twoCellAnchor>
  <xdr:twoCellAnchor editAs="oneCell">
    <xdr:from>
      <xdr:col>5</xdr:col>
      <xdr:colOff>140347</xdr:colOff>
      <xdr:row>3</xdr:row>
      <xdr:rowOff>18459</xdr:rowOff>
    </xdr:from>
    <xdr:to>
      <xdr:col>6</xdr:col>
      <xdr:colOff>482943</xdr:colOff>
      <xdr:row>8</xdr:row>
      <xdr:rowOff>90954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9CDFD4-BAAA-4C66-87AC-1D1492929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0667" y="582339"/>
          <a:ext cx="952196" cy="986895"/>
        </a:xfrm>
        <a:prstGeom prst="rect">
          <a:avLst/>
        </a:prstGeom>
      </xdr:spPr>
    </xdr:pic>
    <xdr:clientData/>
  </xdr:twoCellAnchor>
  <xdr:twoCellAnchor editAs="oneCell">
    <xdr:from>
      <xdr:col>8</xdr:col>
      <xdr:colOff>148757</xdr:colOff>
      <xdr:row>2</xdr:row>
      <xdr:rowOff>179116</xdr:rowOff>
    </xdr:from>
    <xdr:to>
      <xdr:col>9</xdr:col>
      <xdr:colOff>464488</xdr:colOff>
      <xdr:row>8</xdr:row>
      <xdr:rowOff>89616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4D1D732-60C3-419A-8D7E-52F7D7997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0197" y="552496"/>
          <a:ext cx="925331" cy="1015400"/>
        </a:xfrm>
        <a:prstGeom prst="rect">
          <a:avLst/>
        </a:prstGeom>
      </xdr:spPr>
    </xdr:pic>
    <xdr:clientData/>
  </xdr:twoCellAnchor>
  <xdr:twoCellAnchor editAs="oneCell">
    <xdr:from>
      <xdr:col>2</xdr:col>
      <xdr:colOff>80886</xdr:colOff>
      <xdr:row>15</xdr:row>
      <xdr:rowOff>50840</xdr:rowOff>
    </xdr:from>
    <xdr:to>
      <xdr:col>3</xdr:col>
      <xdr:colOff>549921</xdr:colOff>
      <xdr:row>19</xdr:row>
      <xdr:rowOff>124019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6720906-1440-4E74-9EC1-7ED6C7DB2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0086" y="2626400"/>
          <a:ext cx="1078635" cy="804699"/>
        </a:xfrm>
        <a:prstGeom prst="rect">
          <a:avLst/>
        </a:prstGeom>
      </xdr:spPr>
    </xdr:pic>
    <xdr:clientData/>
  </xdr:twoCellAnchor>
  <xdr:twoCellAnchor editAs="oneCell">
    <xdr:from>
      <xdr:col>8</xdr:col>
      <xdr:colOff>79469</xdr:colOff>
      <xdr:row>14</xdr:row>
      <xdr:rowOff>140328</xdr:rowOff>
    </xdr:from>
    <xdr:to>
      <xdr:col>9</xdr:col>
      <xdr:colOff>525147</xdr:colOff>
      <xdr:row>19</xdr:row>
      <xdr:rowOff>119398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C3D7371-628C-4808-987B-5BE341C62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80909" y="2533008"/>
          <a:ext cx="1055278" cy="893470"/>
        </a:xfrm>
        <a:prstGeom prst="rect">
          <a:avLst/>
        </a:prstGeom>
      </xdr:spPr>
    </xdr:pic>
    <xdr:clientData/>
  </xdr:twoCellAnchor>
  <xdr:twoCellAnchor editAs="oneCell">
    <xdr:from>
      <xdr:col>5</xdr:col>
      <xdr:colOff>69827</xdr:colOff>
      <xdr:row>15</xdr:row>
      <xdr:rowOff>9499</xdr:rowOff>
    </xdr:from>
    <xdr:to>
      <xdr:col>6</xdr:col>
      <xdr:colOff>524982</xdr:colOff>
      <xdr:row>19</xdr:row>
      <xdr:rowOff>126341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9E3A47A-9FEB-4FDD-9D93-2537CCE12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0147" y="2585059"/>
          <a:ext cx="1064755" cy="848362"/>
        </a:xfrm>
        <a:prstGeom prst="rect">
          <a:avLst/>
        </a:prstGeom>
      </xdr:spPr>
    </xdr:pic>
    <xdr:clientData/>
  </xdr:twoCellAnchor>
  <xdr:twoCellAnchor editAs="oneCell">
    <xdr:from>
      <xdr:col>2</xdr:col>
      <xdr:colOff>66552</xdr:colOff>
      <xdr:row>23</xdr:row>
      <xdr:rowOff>39989</xdr:rowOff>
    </xdr:from>
    <xdr:to>
      <xdr:col>3</xdr:col>
      <xdr:colOff>542997</xdr:colOff>
      <xdr:row>27</xdr:row>
      <xdr:rowOff>120979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8CB086-D4BA-4AF5-85B8-521996C09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5752" y="3987149"/>
          <a:ext cx="1086045" cy="812510"/>
        </a:xfrm>
        <a:prstGeom prst="rect">
          <a:avLst/>
        </a:prstGeom>
      </xdr:spPr>
    </xdr:pic>
    <xdr:clientData/>
  </xdr:twoCellAnchor>
  <xdr:twoCellAnchor editAs="oneCell">
    <xdr:from>
      <xdr:col>5</xdr:col>
      <xdr:colOff>77756</xdr:colOff>
      <xdr:row>23</xdr:row>
      <xdr:rowOff>17182</xdr:rowOff>
    </xdr:from>
    <xdr:to>
      <xdr:col>6</xdr:col>
      <xdr:colOff>539101</xdr:colOff>
      <xdr:row>27</xdr:row>
      <xdr:rowOff>137759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612C46F-1CCE-4B53-BC2A-645CC5B2E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076" y="3964342"/>
          <a:ext cx="1070945" cy="852097"/>
        </a:xfrm>
        <a:prstGeom prst="rect">
          <a:avLst/>
        </a:prstGeom>
      </xdr:spPr>
    </xdr:pic>
    <xdr:clientData/>
  </xdr:twoCellAnchor>
  <xdr:twoCellAnchor editAs="oneCell">
    <xdr:from>
      <xdr:col>8</xdr:col>
      <xdr:colOff>74204</xdr:colOff>
      <xdr:row>22</xdr:row>
      <xdr:rowOff>119909</xdr:rowOff>
    </xdr:from>
    <xdr:to>
      <xdr:col>9</xdr:col>
      <xdr:colOff>553642</xdr:colOff>
      <xdr:row>27</xdr:row>
      <xdr:rowOff>134720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E177832-5624-4ED6-B235-8D611B0B4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75644" y="3884189"/>
          <a:ext cx="1089038" cy="929211"/>
        </a:xfrm>
        <a:prstGeom prst="rect">
          <a:avLst/>
        </a:prstGeom>
      </xdr:spPr>
    </xdr:pic>
    <xdr:clientData/>
  </xdr:twoCellAnchor>
  <xdr:twoCellAnchor editAs="oneCell">
    <xdr:from>
      <xdr:col>1</xdr:col>
      <xdr:colOff>110850</xdr:colOff>
      <xdr:row>29</xdr:row>
      <xdr:rowOff>14154</xdr:rowOff>
    </xdr:from>
    <xdr:to>
      <xdr:col>1</xdr:col>
      <xdr:colOff>469770</xdr:colOff>
      <xdr:row>31</xdr:row>
      <xdr:rowOff>77850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DD728EF-2222-4036-94A6-9B5D4D35F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450" y="5058594"/>
          <a:ext cx="358920" cy="338016"/>
        </a:xfrm>
        <a:prstGeom prst="rect">
          <a:avLst/>
        </a:prstGeom>
      </xdr:spPr>
    </xdr:pic>
    <xdr:clientData/>
  </xdr:twoCellAnchor>
  <xdr:twoCellAnchor>
    <xdr:from>
      <xdr:col>1</xdr:col>
      <xdr:colOff>103533</xdr:colOff>
      <xdr:row>12</xdr:row>
      <xdr:rowOff>73256</xdr:rowOff>
    </xdr:from>
    <xdr:to>
      <xdr:col>1</xdr:col>
      <xdr:colOff>497128</xdr:colOff>
      <xdr:row>14</xdr:row>
      <xdr:rowOff>17679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D9167E7A-10FB-40FD-AB67-23466BAB3541}"/>
            </a:ext>
          </a:extLst>
        </xdr:cNvPr>
        <xdr:cNvSpPr/>
      </xdr:nvSpPr>
      <xdr:spPr>
        <a:xfrm>
          <a:off x="712305" y="2185321"/>
          <a:ext cx="393595" cy="217749"/>
        </a:xfrm>
        <a:prstGeom prst="rect">
          <a:avLst/>
        </a:prstGeom>
        <a:solidFill>
          <a:srgbClr val="FCEB82"/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1</xdr:col>
      <xdr:colOff>104563</xdr:colOff>
      <xdr:row>10</xdr:row>
      <xdr:rowOff>70402</xdr:rowOff>
    </xdr:from>
    <xdr:to>
      <xdr:col>1</xdr:col>
      <xdr:colOff>498158</xdr:colOff>
      <xdr:row>12</xdr:row>
      <xdr:rowOff>23334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C8B9EB5D-80A8-4866-908A-96235E5ECCC2}"/>
            </a:ext>
          </a:extLst>
        </xdr:cNvPr>
        <xdr:cNvSpPr/>
      </xdr:nvSpPr>
      <xdr:spPr>
        <a:xfrm>
          <a:off x="713335" y="1909141"/>
          <a:ext cx="393595" cy="226258"/>
        </a:xfrm>
        <a:prstGeom prst="rect">
          <a:avLst/>
        </a:prstGeom>
        <a:solidFill>
          <a:schemeClr val="bg1">
            <a:lumMod val="75000"/>
          </a:schemeClr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137161</xdr:colOff>
      <xdr:row>3</xdr:row>
      <xdr:rowOff>60961</xdr:rowOff>
    </xdr:from>
    <xdr:to>
      <xdr:col>3</xdr:col>
      <xdr:colOff>480061</xdr:colOff>
      <xdr:row>8</xdr:row>
      <xdr:rowOff>89481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DE3697-2491-434F-A84B-7B8A916D4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1" y="624841"/>
          <a:ext cx="952500" cy="942920"/>
        </a:xfrm>
        <a:prstGeom prst="rect">
          <a:avLst/>
        </a:prstGeom>
      </xdr:spPr>
    </xdr:pic>
    <xdr:clientData/>
  </xdr:twoCellAnchor>
  <xdr:twoCellAnchor editAs="oneCell">
    <xdr:from>
      <xdr:col>5</xdr:col>
      <xdr:colOff>140347</xdr:colOff>
      <xdr:row>3</xdr:row>
      <xdr:rowOff>18459</xdr:rowOff>
    </xdr:from>
    <xdr:to>
      <xdr:col>6</xdr:col>
      <xdr:colOff>482943</xdr:colOff>
      <xdr:row>8</xdr:row>
      <xdr:rowOff>90954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DD94CA-6C7E-47F9-8FEE-A040C18F5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0667" y="582339"/>
          <a:ext cx="952196" cy="986895"/>
        </a:xfrm>
        <a:prstGeom prst="rect">
          <a:avLst/>
        </a:prstGeom>
      </xdr:spPr>
    </xdr:pic>
    <xdr:clientData/>
  </xdr:twoCellAnchor>
  <xdr:twoCellAnchor editAs="oneCell">
    <xdr:from>
      <xdr:col>8</xdr:col>
      <xdr:colOff>148757</xdr:colOff>
      <xdr:row>2</xdr:row>
      <xdr:rowOff>179116</xdr:rowOff>
    </xdr:from>
    <xdr:to>
      <xdr:col>9</xdr:col>
      <xdr:colOff>464488</xdr:colOff>
      <xdr:row>8</xdr:row>
      <xdr:rowOff>89616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C928849-67B5-444D-8E9F-468CDACC0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0197" y="552496"/>
          <a:ext cx="925331" cy="1015400"/>
        </a:xfrm>
        <a:prstGeom prst="rect">
          <a:avLst/>
        </a:prstGeom>
      </xdr:spPr>
    </xdr:pic>
    <xdr:clientData/>
  </xdr:twoCellAnchor>
  <xdr:twoCellAnchor editAs="oneCell">
    <xdr:from>
      <xdr:col>2</xdr:col>
      <xdr:colOff>80886</xdr:colOff>
      <xdr:row>15</xdr:row>
      <xdr:rowOff>50840</xdr:rowOff>
    </xdr:from>
    <xdr:to>
      <xdr:col>3</xdr:col>
      <xdr:colOff>549921</xdr:colOff>
      <xdr:row>19</xdr:row>
      <xdr:rowOff>124019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618A5E2-99E2-42A2-9181-867DCD83C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0086" y="2626400"/>
          <a:ext cx="1078635" cy="804699"/>
        </a:xfrm>
        <a:prstGeom prst="rect">
          <a:avLst/>
        </a:prstGeom>
      </xdr:spPr>
    </xdr:pic>
    <xdr:clientData/>
  </xdr:twoCellAnchor>
  <xdr:twoCellAnchor editAs="oneCell">
    <xdr:from>
      <xdr:col>8</xdr:col>
      <xdr:colOff>79469</xdr:colOff>
      <xdr:row>14</xdr:row>
      <xdr:rowOff>140328</xdr:rowOff>
    </xdr:from>
    <xdr:to>
      <xdr:col>9</xdr:col>
      <xdr:colOff>525147</xdr:colOff>
      <xdr:row>19</xdr:row>
      <xdr:rowOff>119398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3FE9DC0-1B56-4C4B-8578-E5F0E2E0E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80909" y="2533008"/>
          <a:ext cx="1055278" cy="893470"/>
        </a:xfrm>
        <a:prstGeom prst="rect">
          <a:avLst/>
        </a:prstGeom>
      </xdr:spPr>
    </xdr:pic>
    <xdr:clientData/>
  </xdr:twoCellAnchor>
  <xdr:twoCellAnchor editAs="oneCell">
    <xdr:from>
      <xdr:col>5</xdr:col>
      <xdr:colOff>69827</xdr:colOff>
      <xdr:row>15</xdr:row>
      <xdr:rowOff>9499</xdr:rowOff>
    </xdr:from>
    <xdr:to>
      <xdr:col>6</xdr:col>
      <xdr:colOff>524982</xdr:colOff>
      <xdr:row>19</xdr:row>
      <xdr:rowOff>126341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7AA5FF5-6B61-4125-941F-2000284C1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0147" y="2585059"/>
          <a:ext cx="1064755" cy="848362"/>
        </a:xfrm>
        <a:prstGeom prst="rect">
          <a:avLst/>
        </a:prstGeom>
      </xdr:spPr>
    </xdr:pic>
    <xdr:clientData/>
  </xdr:twoCellAnchor>
  <xdr:twoCellAnchor editAs="oneCell">
    <xdr:from>
      <xdr:col>2</xdr:col>
      <xdr:colOff>66552</xdr:colOff>
      <xdr:row>23</xdr:row>
      <xdr:rowOff>39989</xdr:rowOff>
    </xdr:from>
    <xdr:to>
      <xdr:col>3</xdr:col>
      <xdr:colOff>542997</xdr:colOff>
      <xdr:row>27</xdr:row>
      <xdr:rowOff>120979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2F02B1E-627F-4DD8-BE0E-71FF0317D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5752" y="3987149"/>
          <a:ext cx="1086045" cy="812510"/>
        </a:xfrm>
        <a:prstGeom prst="rect">
          <a:avLst/>
        </a:prstGeom>
      </xdr:spPr>
    </xdr:pic>
    <xdr:clientData/>
  </xdr:twoCellAnchor>
  <xdr:twoCellAnchor editAs="oneCell">
    <xdr:from>
      <xdr:col>5</xdr:col>
      <xdr:colOff>77756</xdr:colOff>
      <xdr:row>23</xdr:row>
      <xdr:rowOff>17182</xdr:rowOff>
    </xdr:from>
    <xdr:to>
      <xdr:col>6</xdr:col>
      <xdr:colOff>539101</xdr:colOff>
      <xdr:row>27</xdr:row>
      <xdr:rowOff>137759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20E510C-5901-4AD7-BF83-A72FD686C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076" y="3964342"/>
          <a:ext cx="1070945" cy="852097"/>
        </a:xfrm>
        <a:prstGeom prst="rect">
          <a:avLst/>
        </a:prstGeom>
      </xdr:spPr>
    </xdr:pic>
    <xdr:clientData/>
  </xdr:twoCellAnchor>
  <xdr:twoCellAnchor editAs="oneCell">
    <xdr:from>
      <xdr:col>8</xdr:col>
      <xdr:colOff>74204</xdr:colOff>
      <xdr:row>22</xdr:row>
      <xdr:rowOff>119909</xdr:rowOff>
    </xdr:from>
    <xdr:to>
      <xdr:col>9</xdr:col>
      <xdr:colOff>553642</xdr:colOff>
      <xdr:row>27</xdr:row>
      <xdr:rowOff>134720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E3DB380-38A3-411D-90EA-546E29B76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75644" y="3884189"/>
          <a:ext cx="1089038" cy="929211"/>
        </a:xfrm>
        <a:prstGeom prst="rect">
          <a:avLst/>
        </a:prstGeom>
      </xdr:spPr>
    </xdr:pic>
    <xdr:clientData/>
  </xdr:twoCellAnchor>
  <xdr:twoCellAnchor editAs="oneCell">
    <xdr:from>
      <xdr:col>1</xdr:col>
      <xdr:colOff>110850</xdr:colOff>
      <xdr:row>29</xdr:row>
      <xdr:rowOff>14154</xdr:rowOff>
    </xdr:from>
    <xdr:to>
      <xdr:col>1</xdr:col>
      <xdr:colOff>469770</xdr:colOff>
      <xdr:row>31</xdr:row>
      <xdr:rowOff>77850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B20E8A8-229F-40FE-8947-7DC5CFD8D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450" y="5058594"/>
          <a:ext cx="358920" cy="338016"/>
        </a:xfrm>
        <a:prstGeom prst="rect">
          <a:avLst/>
        </a:prstGeom>
      </xdr:spPr>
    </xdr:pic>
    <xdr:clientData/>
  </xdr:twoCellAnchor>
  <xdr:twoCellAnchor>
    <xdr:from>
      <xdr:col>1</xdr:col>
      <xdr:colOff>113568</xdr:colOff>
      <xdr:row>12</xdr:row>
      <xdr:rowOff>66535</xdr:rowOff>
    </xdr:from>
    <xdr:to>
      <xdr:col>1</xdr:col>
      <xdr:colOff>507163</xdr:colOff>
      <xdr:row>14</xdr:row>
      <xdr:rowOff>20870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B50A8BE2-9E39-4434-8E17-FD4575579377}"/>
            </a:ext>
          </a:extLst>
        </xdr:cNvPr>
        <xdr:cNvSpPr/>
      </xdr:nvSpPr>
      <xdr:spPr>
        <a:xfrm>
          <a:off x="721703" y="2187679"/>
          <a:ext cx="393595" cy="229095"/>
        </a:xfrm>
        <a:prstGeom prst="rect">
          <a:avLst/>
        </a:prstGeom>
        <a:solidFill>
          <a:srgbClr val="FCEB82"/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1</xdr:col>
      <xdr:colOff>114598</xdr:colOff>
      <xdr:row>10</xdr:row>
      <xdr:rowOff>62278</xdr:rowOff>
    </xdr:from>
    <xdr:to>
      <xdr:col>1</xdr:col>
      <xdr:colOff>508193</xdr:colOff>
      <xdr:row>12</xdr:row>
      <xdr:rowOff>16613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44CDD298-ED21-4697-8EC9-57F0BDACBB23}"/>
            </a:ext>
          </a:extLst>
        </xdr:cNvPr>
        <xdr:cNvSpPr/>
      </xdr:nvSpPr>
      <xdr:spPr>
        <a:xfrm>
          <a:off x="722733" y="1908663"/>
          <a:ext cx="393595" cy="229094"/>
        </a:xfrm>
        <a:prstGeom prst="rect">
          <a:avLst/>
        </a:prstGeom>
        <a:solidFill>
          <a:schemeClr val="bg1">
            <a:lumMod val="75000"/>
          </a:schemeClr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137161</xdr:colOff>
      <xdr:row>2</xdr:row>
      <xdr:rowOff>60961</xdr:rowOff>
    </xdr:from>
    <xdr:to>
      <xdr:col>3</xdr:col>
      <xdr:colOff>480062</xdr:colOff>
      <xdr:row>7</xdr:row>
      <xdr:rowOff>89481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FE1865-4B61-4E38-A026-2E12FDAA1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175" y="436742"/>
          <a:ext cx="948325" cy="967972"/>
        </a:xfrm>
        <a:prstGeom prst="rect">
          <a:avLst/>
        </a:prstGeom>
      </xdr:spPr>
    </xdr:pic>
    <xdr:clientData/>
  </xdr:twoCellAnchor>
  <xdr:twoCellAnchor editAs="oneCell">
    <xdr:from>
      <xdr:col>5</xdr:col>
      <xdr:colOff>140347</xdr:colOff>
      <xdr:row>2</xdr:row>
      <xdr:rowOff>18459</xdr:rowOff>
    </xdr:from>
    <xdr:to>
      <xdr:col>6</xdr:col>
      <xdr:colOff>482943</xdr:colOff>
      <xdr:row>7</xdr:row>
      <xdr:rowOff>90954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00F293-5894-4AB6-AC9C-85CB8587A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0667" y="582339"/>
          <a:ext cx="952196" cy="986895"/>
        </a:xfrm>
        <a:prstGeom prst="rect">
          <a:avLst/>
        </a:prstGeom>
      </xdr:spPr>
    </xdr:pic>
    <xdr:clientData/>
  </xdr:twoCellAnchor>
  <xdr:twoCellAnchor editAs="oneCell">
    <xdr:from>
      <xdr:col>8</xdr:col>
      <xdr:colOff>148757</xdr:colOff>
      <xdr:row>1</xdr:row>
      <xdr:rowOff>179116</xdr:rowOff>
    </xdr:from>
    <xdr:to>
      <xdr:col>9</xdr:col>
      <xdr:colOff>464488</xdr:colOff>
      <xdr:row>7</xdr:row>
      <xdr:rowOff>89615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A3B9B02-0B3D-4651-8763-6965390DC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0197" y="552496"/>
          <a:ext cx="925331" cy="1015400"/>
        </a:xfrm>
        <a:prstGeom prst="rect">
          <a:avLst/>
        </a:prstGeom>
      </xdr:spPr>
    </xdr:pic>
    <xdr:clientData/>
  </xdr:twoCellAnchor>
  <xdr:twoCellAnchor editAs="oneCell">
    <xdr:from>
      <xdr:col>2</xdr:col>
      <xdr:colOff>80886</xdr:colOff>
      <xdr:row>14</xdr:row>
      <xdr:rowOff>50840</xdr:rowOff>
    </xdr:from>
    <xdr:to>
      <xdr:col>3</xdr:col>
      <xdr:colOff>549922</xdr:colOff>
      <xdr:row>18</xdr:row>
      <xdr:rowOff>124018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995B013-D171-4E1D-A7F1-F3E11D0A9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0086" y="2626400"/>
          <a:ext cx="1078635" cy="804699"/>
        </a:xfrm>
        <a:prstGeom prst="rect">
          <a:avLst/>
        </a:prstGeom>
      </xdr:spPr>
    </xdr:pic>
    <xdr:clientData/>
  </xdr:twoCellAnchor>
  <xdr:twoCellAnchor editAs="oneCell">
    <xdr:from>
      <xdr:col>8</xdr:col>
      <xdr:colOff>79469</xdr:colOff>
      <xdr:row>13</xdr:row>
      <xdr:rowOff>140328</xdr:rowOff>
    </xdr:from>
    <xdr:to>
      <xdr:col>9</xdr:col>
      <xdr:colOff>525147</xdr:colOff>
      <xdr:row>18</xdr:row>
      <xdr:rowOff>119398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A0BDC0-1270-4936-8D8D-41AAAC50C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80909" y="2533008"/>
          <a:ext cx="1055278" cy="893470"/>
        </a:xfrm>
        <a:prstGeom prst="rect">
          <a:avLst/>
        </a:prstGeom>
      </xdr:spPr>
    </xdr:pic>
    <xdr:clientData/>
  </xdr:twoCellAnchor>
  <xdr:twoCellAnchor editAs="oneCell">
    <xdr:from>
      <xdr:col>5</xdr:col>
      <xdr:colOff>69827</xdr:colOff>
      <xdr:row>14</xdr:row>
      <xdr:rowOff>9499</xdr:rowOff>
    </xdr:from>
    <xdr:to>
      <xdr:col>6</xdr:col>
      <xdr:colOff>524982</xdr:colOff>
      <xdr:row>18</xdr:row>
      <xdr:rowOff>126340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E408E72-1A5B-4B3F-A515-E33A01D06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0147" y="2585059"/>
          <a:ext cx="1064755" cy="848362"/>
        </a:xfrm>
        <a:prstGeom prst="rect">
          <a:avLst/>
        </a:prstGeom>
      </xdr:spPr>
    </xdr:pic>
    <xdr:clientData/>
  </xdr:twoCellAnchor>
  <xdr:twoCellAnchor editAs="oneCell">
    <xdr:from>
      <xdr:col>2</xdr:col>
      <xdr:colOff>66552</xdr:colOff>
      <xdr:row>22</xdr:row>
      <xdr:rowOff>39989</xdr:rowOff>
    </xdr:from>
    <xdr:to>
      <xdr:col>3</xdr:col>
      <xdr:colOff>542998</xdr:colOff>
      <xdr:row>26</xdr:row>
      <xdr:rowOff>120978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300B865-496C-402D-9B49-C3C5F3F971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5752" y="3987149"/>
          <a:ext cx="1086045" cy="812510"/>
        </a:xfrm>
        <a:prstGeom prst="rect">
          <a:avLst/>
        </a:prstGeom>
      </xdr:spPr>
    </xdr:pic>
    <xdr:clientData/>
  </xdr:twoCellAnchor>
  <xdr:twoCellAnchor editAs="oneCell">
    <xdr:from>
      <xdr:col>5</xdr:col>
      <xdr:colOff>77756</xdr:colOff>
      <xdr:row>22</xdr:row>
      <xdr:rowOff>17182</xdr:rowOff>
    </xdr:from>
    <xdr:to>
      <xdr:col>6</xdr:col>
      <xdr:colOff>539101</xdr:colOff>
      <xdr:row>26</xdr:row>
      <xdr:rowOff>137758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43A31E4-E04F-46B1-9103-E17B0819B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076" y="3964342"/>
          <a:ext cx="1070945" cy="852097"/>
        </a:xfrm>
        <a:prstGeom prst="rect">
          <a:avLst/>
        </a:prstGeom>
      </xdr:spPr>
    </xdr:pic>
    <xdr:clientData/>
  </xdr:twoCellAnchor>
  <xdr:twoCellAnchor editAs="oneCell">
    <xdr:from>
      <xdr:col>8</xdr:col>
      <xdr:colOff>74204</xdr:colOff>
      <xdr:row>21</xdr:row>
      <xdr:rowOff>119909</xdr:rowOff>
    </xdr:from>
    <xdr:to>
      <xdr:col>9</xdr:col>
      <xdr:colOff>553642</xdr:colOff>
      <xdr:row>26</xdr:row>
      <xdr:rowOff>134720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0BCA4C8-EAAA-4337-A7E0-A83BAF272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75644" y="3884189"/>
          <a:ext cx="1089038" cy="929211"/>
        </a:xfrm>
        <a:prstGeom prst="rect">
          <a:avLst/>
        </a:prstGeom>
      </xdr:spPr>
    </xdr:pic>
    <xdr:clientData/>
  </xdr:twoCellAnchor>
  <xdr:twoCellAnchor editAs="oneCell">
    <xdr:from>
      <xdr:col>1</xdr:col>
      <xdr:colOff>110850</xdr:colOff>
      <xdr:row>28</xdr:row>
      <xdr:rowOff>14154</xdr:rowOff>
    </xdr:from>
    <xdr:to>
      <xdr:col>1</xdr:col>
      <xdr:colOff>469770</xdr:colOff>
      <xdr:row>30</xdr:row>
      <xdr:rowOff>77850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9DEAA3-FE5F-45CE-8259-DA187CAC3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450" y="5058594"/>
          <a:ext cx="358920" cy="338016"/>
        </a:xfrm>
        <a:prstGeom prst="rect">
          <a:avLst/>
        </a:prstGeom>
      </xdr:spPr>
    </xdr:pic>
    <xdr:clientData/>
  </xdr:twoCellAnchor>
  <xdr:twoCellAnchor>
    <xdr:from>
      <xdr:col>1</xdr:col>
      <xdr:colOff>104825</xdr:colOff>
      <xdr:row>11</xdr:row>
      <xdr:rowOff>81460</xdr:rowOff>
    </xdr:from>
    <xdr:to>
      <xdr:col>1</xdr:col>
      <xdr:colOff>498420</xdr:colOff>
      <xdr:row>13</xdr:row>
      <xdr:rowOff>36396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3FB17E70-992A-45BD-B2BB-404E47250FC4}"/>
            </a:ext>
          </a:extLst>
        </xdr:cNvPr>
        <xdr:cNvSpPr/>
      </xdr:nvSpPr>
      <xdr:spPr>
        <a:xfrm>
          <a:off x="423333" y="2004603"/>
          <a:ext cx="393595" cy="229095"/>
        </a:xfrm>
        <a:prstGeom prst="rect">
          <a:avLst/>
        </a:prstGeom>
        <a:solidFill>
          <a:srgbClr val="FCEB82"/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1</xdr:col>
      <xdr:colOff>105855</xdr:colOff>
      <xdr:row>9</xdr:row>
      <xdr:rowOff>76603</xdr:rowOff>
    </xdr:from>
    <xdr:to>
      <xdr:col>1</xdr:col>
      <xdr:colOff>499450</xdr:colOff>
      <xdr:row>11</xdr:row>
      <xdr:rowOff>31538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C97C93B-E859-4286-80EA-D388736AB2C9}"/>
            </a:ext>
          </a:extLst>
        </xdr:cNvPr>
        <xdr:cNvSpPr/>
      </xdr:nvSpPr>
      <xdr:spPr>
        <a:xfrm>
          <a:off x="424363" y="1725587"/>
          <a:ext cx="393595" cy="229094"/>
        </a:xfrm>
        <a:prstGeom prst="rect">
          <a:avLst/>
        </a:prstGeom>
        <a:solidFill>
          <a:schemeClr val="bg1">
            <a:lumMod val="75000"/>
          </a:schemeClr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137161</xdr:colOff>
      <xdr:row>2</xdr:row>
      <xdr:rowOff>60961</xdr:rowOff>
    </xdr:from>
    <xdr:to>
      <xdr:col>3</xdr:col>
      <xdr:colOff>480062</xdr:colOff>
      <xdr:row>7</xdr:row>
      <xdr:rowOff>89481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990372-7D3A-4E54-9849-7DF4EF34C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1" y="624841"/>
          <a:ext cx="952500" cy="942920"/>
        </a:xfrm>
        <a:prstGeom prst="rect">
          <a:avLst/>
        </a:prstGeom>
      </xdr:spPr>
    </xdr:pic>
    <xdr:clientData/>
  </xdr:twoCellAnchor>
  <xdr:twoCellAnchor editAs="oneCell">
    <xdr:from>
      <xdr:col>5</xdr:col>
      <xdr:colOff>140347</xdr:colOff>
      <xdr:row>2</xdr:row>
      <xdr:rowOff>18459</xdr:rowOff>
    </xdr:from>
    <xdr:to>
      <xdr:col>6</xdr:col>
      <xdr:colOff>482943</xdr:colOff>
      <xdr:row>7</xdr:row>
      <xdr:rowOff>90954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476569-1876-416A-A19A-83C9DD4BE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0667" y="582339"/>
          <a:ext cx="952196" cy="986895"/>
        </a:xfrm>
        <a:prstGeom prst="rect">
          <a:avLst/>
        </a:prstGeom>
      </xdr:spPr>
    </xdr:pic>
    <xdr:clientData/>
  </xdr:twoCellAnchor>
  <xdr:twoCellAnchor editAs="oneCell">
    <xdr:from>
      <xdr:col>8</xdr:col>
      <xdr:colOff>148757</xdr:colOff>
      <xdr:row>1</xdr:row>
      <xdr:rowOff>179116</xdr:rowOff>
    </xdr:from>
    <xdr:to>
      <xdr:col>9</xdr:col>
      <xdr:colOff>464488</xdr:colOff>
      <xdr:row>7</xdr:row>
      <xdr:rowOff>89615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56742B-8AD6-40E2-ABE7-B90D1ED7C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0197" y="552496"/>
          <a:ext cx="925331" cy="1015400"/>
        </a:xfrm>
        <a:prstGeom prst="rect">
          <a:avLst/>
        </a:prstGeom>
      </xdr:spPr>
    </xdr:pic>
    <xdr:clientData/>
  </xdr:twoCellAnchor>
  <xdr:twoCellAnchor editAs="oneCell">
    <xdr:from>
      <xdr:col>2</xdr:col>
      <xdr:colOff>80886</xdr:colOff>
      <xdr:row>14</xdr:row>
      <xdr:rowOff>50840</xdr:rowOff>
    </xdr:from>
    <xdr:to>
      <xdr:col>3</xdr:col>
      <xdr:colOff>549922</xdr:colOff>
      <xdr:row>18</xdr:row>
      <xdr:rowOff>124018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138D22D-3239-4404-80D9-DC2989B6A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0086" y="2626400"/>
          <a:ext cx="1078635" cy="804699"/>
        </a:xfrm>
        <a:prstGeom prst="rect">
          <a:avLst/>
        </a:prstGeom>
      </xdr:spPr>
    </xdr:pic>
    <xdr:clientData/>
  </xdr:twoCellAnchor>
  <xdr:twoCellAnchor editAs="oneCell">
    <xdr:from>
      <xdr:col>8</xdr:col>
      <xdr:colOff>79469</xdr:colOff>
      <xdr:row>13</xdr:row>
      <xdr:rowOff>140328</xdr:rowOff>
    </xdr:from>
    <xdr:to>
      <xdr:col>9</xdr:col>
      <xdr:colOff>525147</xdr:colOff>
      <xdr:row>18</xdr:row>
      <xdr:rowOff>119398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16ECAFD-810D-466F-AF42-17B4DB0D9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80909" y="2533008"/>
          <a:ext cx="1055278" cy="893470"/>
        </a:xfrm>
        <a:prstGeom prst="rect">
          <a:avLst/>
        </a:prstGeom>
      </xdr:spPr>
    </xdr:pic>
    <xdr:clientData/>
  </xdr:twoCellAnchor>
  <xdr:twoCellAnchor editAs="oneCell">
    <xdr:from>
      <xdr:col>5</xdr:col>
      <xdr:colOff>69827</xdr:colOff>
      <xdr:row>14</xdr:row>
      <xdr:rowOff>9499</xdr:rowOff>
    </xdr:from>
    <xdr:to>
      <xdr:col>6</xdr:col>
      <xdr:colOff>524982</xdr:colOff>
      <xdr:row>18</xdr:row>
      <xdr:rowOff>126340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A61A188-56AC-42A0-BC09-66E9A2E01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0147" y="2585059"/>
          <a:ext cx="1064755" cy="848362"/>
        </a:xfrm>
        <a:prstGeom prst="rect">
          <a:avLst/>
        </a:prstGeom>
      </xdr:spPr>
    </xdr:pic>
    <xdr:clientData/>
  </xdr:twoCellAnchor>
  <xdr:twoCellAnchor editAs="oneCell">
    <xdr:from>
      <xdr:col>2</xdr:col>
      <xdr:colOff>66552</xdr:colOff>
      <xdr:row>22</xdr:row>
      <xdr:rowOff>39989</xdr:rowOff>
    </xdr:from>
    <xdr:to>
      <xdr:col>3</xdr:col>
      <xdr:colOff>542998</xdr:colOff>
      <xdr:row>26</xdr:row>
      <xdr:rowOff>120978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1DD6916-3DC4-4D3D-97FD-986B0E9DC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5752" y="3987149"/>
          <a:ext cx="1086045" cy="812510"/>
        </a:xfrm>
        <a:prstGeom prst="rect">
          <a:avLst/>
        </a:prstGeom>
      </xdr:spPr>
    </xdr:pic>
    <xdr:clientData/>
  </xdr:twoCellAnchor>
  <xdr:twoCellAnchor editAs="oneCell">
    <xdr:from>
      <xdr:col>5</xdr:col>
      <xdr:colOff>77756</xdr:colOff>
      <xdr:row>22</xdr:row>
      <xdr:rowOff>17182</xdr:rowOff>
    </xdr:from>
    <xdr:to>
      <xdr:col>6</xdr:col>
      <xdr:colOff>539101</xdr:colOff>
      <xdr:row>26</xdr:row>
      <xdr:rowOff>137758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B0BDD00-99FE-4B4C-B8EF-F458144A2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076" y="3964342"/>
          <a:ext cx="1070945" cy="852097"/>
        </a:xfrm>
        <a:prstGeom prst="rect">
          <a:avLst/>
        </a:prstGeom>
      </xdr:spPr>
    </xdr:pic>
    <xdr:clientData/>
  </xdr:twoCellAnchor>
  <xdr:twoCellAnchor editAs="oneCell">
    <xdr:from>
      <xdr:col>8</xdr:col>
      <xdr:colOff>74204</xdr:colOff>
      <xdr:row>21</xdr:row>
      <xdr:rowOff>119909</xdr:rowOff>
    </xdr:from>
    <xdr:to>
      <xdr:col>9</xdr:col>
      <xdr:colOff>553642</xdr:colOff>
      <xdr:row>26</xdr:row>
      <xdr:rowOff>134720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4D622A8-227D-43CA-B1F1-31EF06199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75644" y="3884189"/>
          <a:ext cx="1089038" cy="929211"/>
        </a:xfrm>
        <a:prstGeom prst="rect">
          <a:avLst/>
        </a:prstGeom>
      </xdr:spPr>
    </xdr:pic>
    <xdr:clientData/>
  </xdr:twoCellAnchor>
  <xdr:twoCellAnchor editAs="oneCell">
    <xdr:from>
      <xdr:col>1</xdr:col>
      <xdr:colOff>110850</xdr:colOff>
      <xdr:row>28</xdr:row>
      <xdr:rowOff>14154</xdr:rowOff>
    </xdr:from>
    <xdr:to>
      <xdr:col>1</xdr:col>
      <xdr:colOff>469770</xdr:colOff>
      <xdr:row>30</xdr:row>
      <xdr:rowOff>77850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BFCAB40-3824-42AF-AB49-FBDEF8324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450" y="5058594"/>
          <a:ext cx="358920" cy="338016"/>
        </a:xfrm>
        <a:prstGeom prst="rect">
          <a:avLst/>
        </a:prstGeom>
      </xdr:spPr>
    </xdr:pic>
    <xdr:clientData/>
  </xdr:twoCellAnchor>
  <xdr:twoCellAnchor>
    <xdr:from>
      <xdr:col>1</xdr:col>
      <xdr:colOff>108505</xdr:colOff>
      <xdr:row>11</xdr:row>
      <xdr:rowOff>69405</xdr:rowOff>
    </xdr:from>
    <xdr:to>
      <xdr:col>1</xdr:col>
      <xdr:colOff>502100</xdr:colOff>
      <xdr:row>13</xdr:row>
      <xdr:rowOff>24772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B35FD93C-786E-4F9D-9271-569BC366F1D4}"/>
            </a:ext>
          </a:extLst>
        </xdr:cNvPr>
        <xdr:cNvSpPr/>
      </xdr:nvSpPr>
      <xdr:spPr>
        <a:xfrm>
          <a:off x="429088" y="2000298"/>
          <a:ext cx="393595" cy="229095"/>
        </a:xfrm>
        <a:prstGeom prst="rect">
          <a:avLst/>
        </a:prstGeom>
        <a:solidFill>
          <a:srgbClr val="FCEB82"/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1</xdr:col>
      <xdr:colOff>109535</xdr:colOff>
      <xdr:row>9</xdr:row>
      <xdr:rowOff>64117</xdr:rowOff>
    </xdr:from>
    <xdr:to>
      <xdr:col>1</xdr:col>
      <xdr:colOff>503130</xdr:colOff>
      <xdr:row>11</xdr:row>
      <xdr:rowOff>19483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943B96DC-8A1E-42E0-B549-E13A8432CD5A}"/>
            </a:ext>
          </a:extLst>
        </xdr:cNvPr>
        <xdr:cNvSpPr/>
      </xdr:nvSpPr>
      <xdr:spPr>
        <a:xfrm>
          <a:off x="430118" y="1721282"/>
          <a:ext cx="393595" cy="229094"/>
        </a:xfrm>
        <a:prstGeom prst="rect">
          <a:avLst/>
        </a:prstGeom>
        <a:solidFill>
          <a:schemeClr val="bg1">
            <a:lumMod val="75000"/>
          </a:schemeClr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8CA4D-74D1-4644-B33A-52129F390252}">
  <dimension ref="A1:Y127"/>
  <sheetViews>
    <sheetView topLeftCell="A13" zoomScale="99" workbookViewId="0">
      <selection activeCell="J113" sqref="J113"/>
    </sheetView>
  </sheetViews>
  <sheetFormatPr defaultRowHeight="14.4" x14ac:dyDescent="0.3"/>
  <cols>
    <col min="1" max="1" width="15.44140625" customWidth="1"/>
    <col min="3" max="3" width="7.6640625" bestFit="1" customWidth="1"/>
    <col min="8" max="10" width="12.6640625" bestFit="1" customWidth="1"/>
    <col min="14" max="14" width="7.109375" customWidth="1"/>
    <col min="15" max="16" width="6.21875" customWidth="1"/>
    <col min="17" max="17" width="6.109375" bestFit="1" customWidth="1"/>
    <col min="18" max="18" width="5.77734375" customWidth="1"/>
    <col min="19" max="19" width="7.5546875" customWidth="1"/>
    <col min="20" max="23" width="9" bestFit="1" customWidth="1"/>
    <col min="24" max="24" width="12.109375" bestFit="1" customWidth="1"/>
    <col min="25" max="25" width="9" bestFit="1" customWidth="1"/>
  </cols>
  <sheetData>
    <row r="1" spans="1:12" x14ac:dyDescent="0.3">
      <c r="A1" s="27" t="s">
        <v>1</v>
      </c>
      <c r="B1" s="27"/>
      <c r="C1" s="27"/>
      <c r="F1" s="24" t="s">
        <v>26</v>
      </c>
      <c r="G1" s="24"/>
    </row>
    <row r="2" spans="1:12" x14ac:dyDescent="0.3">
      <c r="A2" s="1" t="s">
        <v>2</v>
      </c>
      <c r="B2" t="s">
        <v>12</v>
      </c>
      <c r="C2" s="2">
        <f>0.6</f>
        <v>0.6</v>
      </c>
      <c r="D2" t="s">
        <v>18</v>
      </c>
      <c r="F2" t="s">
        <v>29</v>
      </c>
    </row>
    <row r="3" spans="1:12" x14ac:dyDescent="0.3">
      <c r="A3" s="1" t="s">
        <v>4</v>
      </c>
      <c r="B3" t="s">
        <v>12</v>
      </c>
      <c r="C3" s="2">
        <f>0.75</f>
        <v>0.75</v>
      </c>
      <c r="D3" t="s">
        <v>18</v>
      </c>
      <c r="J3" t="s">
        <v>28</v>
      </c>
    </row>
    <row r="4" spans="1:12" x14ac:dyDescent="0.3">
      <c r="A4" s="1" t="s">
        <v>3</v>
      </c>
      <c r="B4" t="s">
        <v>12</v>
      </c>
      <c r="C4" s="2">
        <f>1</f>
        <v>1</v>
      </c>
      <c r="D4" t="s">
        <v>18</v>
      </c>
      <c r="G4" t="s">
        <v>2</v>
      </c>
      <c r="H4" t="s">
        <v>9</v>
      </c>
      <c r="J4" s="5">
        <f xml:space="preserve"> C2 * (1- C9/0.5) * C28</f>
        <v>0.54</v>
      </c>
      <c r="K4">
        <f xml:space="preserve"> J4*0.85</f>
        <v>0.45900000000000002</v>
      </c>
      <c r="L4" t="s">
        <v>64</v>
      </c>
    </row>
    <row r="5" spans="1:12" x14ac:dyDescent="0.3">
      <c r="G5" t="s">
        <v>2</v>
      </c>
      <c r="H5" t="s">
        <v>10</v>
      </c>
      <c r="J5" s="5">
        <f xml:space="preserve"> C2 * (1- C10/0.5) * C28</f>
        <v>0.42</v>
      </c>
      <c r="K5">
        <f xml:space="preserve"> J5 * 0.85</f>
        <v>0.35699999999999998</v>
      </c>
      <c r="L5" t="s">
        <v>64</v>
      </c>
    </row>
    <row r="6" spans="1:12" x14ac:dyDescent="0.3">
      <c r="A6" s="26" t="s">
        <v>0</v>
      </c>
      <c r="B6" s="26"/>
      <c r="C6" s="26"/>
      <c r="G6" t="s">
        <v>2</v>
      </c>
      <c r="H6" t="s">
        <v>11</v>
      </c>
      <c r="J6" s="5">
        <f xml:space="preserve"> C2 * (1- C11/0.5) * C28</f>
        <v>0.3</v>
      </c>
      <c r="K6">
        <f xml:space="preserve"> J6 * 0.85</f>
        <v>0.255</v>
      </c>
      <c r="L6" t="s">
        <v>64</v>
      </c>
    </row>
    <row r="7" spans="1:12" x14ac:dyDescent="0.3">
      <c r="A7" s="1" t="s">
        <v>6</v>
      </c>
      <c r="C7" s="3">
        <f xml:space="preserve"> 0.35</f>
        <v>0.35</v>
      </c>
      <c r="D7" t="s">
        <v>17</v>
      </c>
      <c r="G7" t="s">
        <v>4</v>
      </c>
      <c r="H7" t="s">
        <v>9</v>
      </c>
      <c r="J7" s="5">
        <f xml:space="preserve"> C3 * (1- C9/0.5) * C28</f>
        <v>0.67500000000000004</v>
      </c>
      <c r="K7">
        <f xml:space="preserve"> J7 *0.85</f>
        <v>0.57374999999999998</v>
      </c>
      <c r="L7" t="s">
        <v>64</v>
      </c>
    </row>
    <row r="8" spans="1:12" x14ac:dyDescent="0.3">
      <c r="A8" s="1" t="s">
        <v>7</v>
      </c>
      <c r="C8" s="3">
        <v>0.23</v>
      </c>
      <c r="D8" t="s">
        <v>17</v>
      </c>
      <c r="G8" t="s">
        <v>4</v>
      </c>
      <c r="H8" t="s">
        <v>9</v>
      </c>
      <c r="I8" t="s">
        <v>27</v>
      </c>
      <c r="J8" s="5">
        <f xml:space="preserve"> C3 * (1- C9/0.5) * C27</f>
        <v>0.33750000000000002</v>
      </c>
    </row>
    <row r="9" spans="1:12" x14ac:dyDescent="0.3">
      <c r="A9" s="1" t="s">
        <v>8</v>
      </c>
      <c r="B9" t="s">
        <v>9</v>
      </c>
      <c r="C9">
        <v>0.05</v>
      </c>
      <c r="D9" t="s">
        <v>17</v>
      </c>
      <c r="G9" t="s">
        <v>4</v>
      </c>
      <c r="H9" t="s">
        <v>10</v>
      </c>
      <c r="J9" s="5">
        <f xml:space="preserve"> C3 * (1- C10/0.5) * C28</f>
        <v>0.52499999999999991</v>
      </c>
      <c r="K9">
        <f xml:space="preserve"> J9 * 0.85</f>
        <v>0.44624999999999992</v>
      </c>
      <c r="L9" t="s">
        <v>64</v>
      </c>
    </row>
    <row r="10" spans="1:12" x14ac:dyDescent="0.3">
      <c r="B10" t="s">
        <v>10</v>
      </c>
      <c r="C10">
        <v>0.15</v>
      </c>
      <c r="D10" t="s">
        <v>17</v>
      </c>
      <c r="G10" t="s">
        <v>4</v>
      </c>
      <c r="H10" t="s">
        <v>10</v>
      </c>
      <c r="I10" t="s">
        <v>27</v>
      </c>
      <c r="J10" s="5">
        <f xml:space="preserve"> C3 * (1- C10/0.5) * C27</f>
        <v>0.26249999999999996</v>
      </c>
    </row>
    <row r="11" spans="1:12" x14ac:dyDescent="0.3">
      <c r="B11" t="s">
        <v>11</v>
      </c>
      <c r="C11">
        <v>0.25</v>
      </c>
      <c r="D11" t="s">
        <v>17</v>
      </c>
      <c r="G11" t="s">
        <v>4</v>
      </c>
      <c r="H11" t="s">
        <v>11</v>
      </c>
      <c r="J11" s="5">
        <f xml:space="preserve"> C3 * (1- C11/0.5) * C28</f>
        <v>0.375</v>
      </c>
      <c r="K11">
        <f xml:space="preserve"> J11 * 0.85</f>
        <v>0.31874999999999998</v>
      </c>
      <c r="L11" t="s">
        <v>64</v>
      </c>
    </row>
    <row r="12" spans="1:12" x14ac:dyDescent="0.3">
      <c r="A12" s="1" t="s">
        <v>5</v>
      </c>
      <c r="B12" t="s">
        <v>9</v>
      </c>
      <c r="C12">
        <f xml:space="preserve"> C8 - C9</f>
        <v>0.18</v>
      </c>
      <c r="D12">
        <v>0</v>
      </c>
      <c r="E12" t="s">
        <v>17</v>
      </c>
      <c r="G12" t="s">
        <v>4</v>
      </c>
      <c r="H12" t="s">
        <v>11</v>
      </c>
      <c r="I12" t="s">
        <v>27</v>
      </c>
      <c r="J12" s="5">
        <f xml:space="preserve"> C3 * (1- C11/0.5) * C27</f>
        <v>0.1875</v>
      </c>
    </row>
    <row r="13" spans="1:12" x14ac:dyDescent="0.3">
      <c r="A13" s="1"/>
      <c r="B13" t="s">
        <v>10</v>
      </c>
      <c r="C13">
        <f>C8-C10</f>
        <v>8.0000000000000016E-2</v>
      </c>
      <c r="D13">
        <v>0</v>
      </c>
      <c r="E13" t="s">
        <v>17</v>
      </c>
      <c r="G13" t="s">
        <v>3</v>
      </c>
      <c r="H13" t="s">
        <v>9</v>
      </c>
      <c r="J13" s="5">
        <f xml:space="preserve"> C4 * (1- C9/0.5) * C28</f>
        <v>0.9</v>
      </c>
    </row>
    <row r="14" spans="1:12" x14ac:dyDescent="0.3">
      <c r="B14" t="s">
        <v>11</v>
      </c>
      <c r="C14">
        <f>C8-C11</f>
        <v>-1.999999999999999E-2</v>
      </c>
      <c r="D14">
        <v>0</v>
      </c>
      <c r="E14" t="s">
        <v>17</v>
      </c>
      <c r="G14" t="s">
        <v>3</v>
      </c>
      <c r="H14" t="s">
        <v>10</v>
      </c>
      <c r="J14" s="5">
        <f xml:space="preserve"> C4 * (1- C10/0.5) * C28</f>
        <v>0.7</v>
      </c>
    </row>
    <row r="15" spans="1:12" x14ac:dyDescent="0.3">
      <c r="A15" s="1" t="s">
        <v>13</v>
      </c>
      <c r="B15" t="s">
        <v>9</v>
      </c>
      <c r="C15" s="4">
        <f xml:space="preserve"> ((MAX(C12, D12))/C7)</f>
        <v>0.51428571428571435</v>
      </c>
      <c r="D15" t="s">
        <v>18</v>
      </c>
      <c r="G15" t="s">
        <v>3</v>
      </c>
      <c r="H15" t="s">
        <v>11</v>
      </c>
      <c r="J15" s="5">
        <f xml:space="preserve"> C4 * (1- C11/0.5) * C28</f>
        <v>0.5</v>
      </c>
    </row>
    <row r="16" spans="1:12" x14ac:dyDescent="0.3">
      <c r="B16" t="s">
        <v>10</v>
      </c>
      <c r="C16" s="4">
        <f xml:space="preserve"> ((MAX(C13, D13))/C7)</f>
        <v>0.22857142857142862</v>
      </c>
      <c r="D16" t="s">
        <v>18</v>
      </c>
    </row>
    <row r="17" spans="1:25" x14ac:dyDescent="0.3">
      <c r="B17" t="s">
        <v>11</v>
      </c>
      <c r="C17">
        <f>((MAX(C14, D14))/C7)</f>
        <v>0</v>
      </c>
      <c r="D17" t="s">
        <v>18</v>
      </c>
      <c r="F17" s="7" t="s">
        <v>30</v>
      </c>
      <c r="G17" s="7"/>
    </row>
    <row r="18" spans="1:25" x14ac:dyDescent="0.3">
      <c r="F18" t="s">
        <v>33</v>
      </c>
    </row>
    <row r="19" spans="1:25" x14ac:dyDescent="0.3">
      <c r="A19" s="28" t="s">
        <v>14</v>
      </c>
      <c r="B19" s="28"/>
      <c r="C19" s="28"/>
      <c r="H19" t="s">
        <v>7</v>
      </c>
      <c r="I19" t="s">
        <v>19</v>
      </c>
      <c r="N19" t="s">
        <v>52</v>
      </c>
      <c r="O19" t="s">
        <v>53</v>
      </c>
      <c r="P19" t="s">
        <v>54</v>
      </c>
      <c r="Q19" t="s">
        <v>52</v>
      </c>
      <c r="R19" t="s">
        <v>53</v>
      </c>
      <c r="S19" t="s">
        <v>54</v>
      </c>
      <c r="T19" s="26" t="s">
        <v>55</v>
      </c>
      <c r="U19" s="26"/>
      <c r="V19" s="26"/>
      <c r="X19" s="6" t="s">
        <v>56</v>
      </c>
    </row>
    <row r="20" spans="1:25" x14ac:dyDescent="0.3">
      <c r="A20" s="1" t="s">
        <v>15</v>
      </c>
      <c r="C20" s="3">
        <f xml:space="preserve"> I30</f>
        <v>26.4</v>
      </c>
      <c r="D20" t="s">
        <v>16</v>
      </c>
      <c r="G20" t="s">
        <v>65</v>
      </c>
      <c r="H20" s="8">
        <v>5.5E-2</v>
      </c>
      <c r="I20" s="8">
        <v>4.84</v>
      </c>
      <c r="J20" s="5">
        <f xml:space="preserve"> 0.7 * (H20/H30) + 0.3 * (I20/I30)^2</f>
        <v>0.10931013745704467</v>
      </c>
      <c r="N20">
        <f xml:space="preserve"> H20 - $C$9</f>
        <v>4.9999999999999975E-3</v>
      </c>
      <c r="O20">
        <f xml:space="preserve"> H20 - $C$10</f>
        <v>-9.5000000000000001E-2</v>
      </c>
      <c r="P20">
        <f xml:space="preserve"> H20 - $C$11</f>
        <v>-0.19500000000000001</v>
      </c>
      <c r="Q20">
        <f xml:space="preserve"> MAX(N20,0)</f>
        <v>4.9999999999999975E-3</v>
      </c>
      <c r="R20">
        <f>MAX(O20,0)</f>
        <v>0</v>
      </c>
      <c r="S20">
        <f>MAX(P20,0)</f>
        <v>0</v>
      </c>
      <c r="T20" s="9">
        <f xml:space="preserve"> (Q20/H$30)</f>
        <v>1.2886597938144322E-2</v>
      </c>
      <c r="U20" s="9">
        <f xml:space="preserve"> (R20/H$30)</f>
        <v>0</v>
      </c>
      <c r="V20" s="9">
        <f xml:space="preserve"> (S20/H$30)</f>
        <v>0</v>
      </c>
      <c r="W20">
        <f>I20/I$30</f>
        <v>0.18333333333333335</v>
      </c>
      <c r="X20" s="6">
        <f xml:space="preserve"> W20^2</f>
        <v>3.3611111111111119E-2</v>
      </c>
      <c r="Y20" s="3">
        <v>0.1</v>
      </c>
    </row>
    <row r="21" spans="1:25" x14ac:dyDescent="0.3">
      <c r="A21" s="1" t="s">
        <v>19</v>
      </c>
      <c r="C21" s="3">
        <v>10</v>
      </c>
      <c r="D21" t="s">
        <v>16</v>
      </c>
      <c r="G21" t="s">
        <v>66</v>
      </c>
      <c r="H21" s="8">
        <v>0.127</v>
      </c>
      <c r="I21" s="8">
        <v>7.61</v>
      </c>
      <c r="J21" s="5">
        <f xml:space="preserve"> 0.7 * (H21/H$30) + 0.3 * (I21/I$30)^2</f>
        <v>0.25405144033469651</v>
      </c>
      <c r="N21">
        <f t="shared" ref="N21:N29" si="0" xml:space="preserve"> H21 - $C$9</f>
        <v>7.6999999999999999E-2</v>
      </c>
      <c r="O21">
        <f t="shared" ref="O21:O29" si="1" xml:space="preserve"> H21 - $C$10</f>
        <v>-2.2999999999999993E-2</v>
      </c>
      <c r="P21">
        <f t="shared" ref="P21:P29" si="2" xml:space="preserve"> H21 - $C$11</f>
        <v>-0.123</v>
      </c>
      <c r="Q21">
        <f t="shared" ref="Q21:Q29" si="3" xml:space="preserve"> MAX(N21,0)</f>
        <v>7.6999999999999999E-2</v>
      </c>
      <c r="R21">
        <f t="shared" ref="R21:R29" si="4">MAX(O21,0)</f>
        <v>0</v>
      </c>
      <c r="S21">
        <f t="shared" ref="S21:S29" si="5">MAX(P21,0)</f>
        <v>0</v>
      </c>
      <c r="T21" s="9">
        <f xml:space="preserve"> (Q21/H$30)</f>
        <v>0.19845360824742267</v>
      </c>
      <c r="U21" s="9">
        <f xml:space="preserve"> (R21/H$30)</f>
        <v>0</v>
      </c>
      <c r="V21" s="9">
        <f xml:space="preserve"> (S21/H$30)</f>
        <v>0</v>
      </c>
      <c r="W21">
        <f>I21/I$30</f>
        <v>0.28825757575757577</v>
      </c>
      <c r="X21" s="6">
        <f t="shared" ref="X21:X29" si="6" xml:space="preserve"> W21^2</f>
        <v>8.3092429981634533E-2</v>
      </c>
    </row>
    <row r="22" spans="1:25" x14ac:dyDescent="0.3">
      <c r="A22" s="1" t="s">
        <v>20</v>
      </c>
      <c r="C22">
        <f xml:space="preserve"> (C21/C20)^2</f>
        <v>0.14348025711662074</v>
      </c>
      <c r="G22" t="s">
        <v>67</v>
      </c>
      <c r="H22" s="8">
        <v>0.14499999999999999</v>
      </c>
      <c r="I22" s="8">
        <v>12.1</v>
      </c>
      <c r="J22" s="5">
        <f xml:space="preserve"> 0.7 * (H22/H$30) + 0.3 * (I22/I$30)^2</f>
        <v>0.32461877147766321</v>
      </c>
      <c r="N22">
        <f t="shared" si="0"/>
        <v>9.4999999999999987E-2</v>
      </c>
      <c r="O22">
        <f t="shared" si="1"/>
        <v>-5.0000000000000044E-3</v>
      </c>
      <c r="P22">
        <f t="shared" si="2"/>
        <v>-0.10500000000000001</v>
      </c>
      <c r="Q22">
        <f t="shared" si="3"/>
        <v>9.4999999999999987E-2</v>
      </c>
      <c r="R22">
        <f t="shared" si="4"/>
        <v>0</v>
      </c>
      <c r="S22">
        <f t="shared" si="5"/>
        <v>0</v>
      </c>
      <c r="T22" s="9">
        <f xml:space="preserve"> (Q22/H$30)</f>
        <v>0.24484536082474223</v>
      </c>
      <c r="U22" s="9">
        <f xml:space="preserve"> (R22/H$30)</f>
        <v>0</v>
      </c>
      <c r="V22" s="9">
        <f xml:space="preserve"> (S22/H$30)</f>
        <v>0</v>
      </c>
      <c r="W22">
        <f>I22/I$30</f>
        <v>0.45833333333333337</v>
      </c>
      <c r="X22" s="6">
        <f t="shared" si="6"/>
        <v>0.21006944444444448</v>
      </c>
    </row>
    <row r="23" spans="1:25" x14ac:dyDescent="0.3">
      <c r="G23" t="s">
        <v>68</v>
      </c>
      <c r="H23" s="8">
        <v>0.251</v>
      </c>
      <c r="I23" s="8">
        <v>9.7100000000000009</v>
      </c>
      <c r="J23" s="5">
        <f xml:space="preserve"> 0.7 * (H23/H$30) + 0.3 * (I23/I$30)^2</f>
        <v>0.49341877227641928</v>
      </c>
      <c r="N23">
        <f t="shared" si="0"/>
        <v>0.20100000000000001</v>
      </c>
      <c r="O23">
        <f t="shared" si="1"/>
        <v>0.10100000000000001</v>
      </c>
      <c r="P23">
        <f t="shared" si="2"/>
        <v>1.0000000000000009E-3</v>
      </c>
      <c r="Q23">
        <f t="shared" si="3"/>
        <v>0.20100000000000001</v>
      </c>
      <c r="R23">
        <f t="shared" si="4"/>
        <v>0.10100000000000001</v>
      </c>
      <c r="S23">
        <f t="shared" si="5"/>
        <v>1.0000000000000009E-3</v>
      </c>
      <c r="T23" s="9">
        <f xml:space="preserve"> (Q23/H$30)</f>
        <v>0.51804123711340211</v>
      </c>
      <c r="U23" s="9">
        <f xml:space="preserve"> (R23/H$30)</f>
        <v>0.26030927835051548</v>
      </c>
      <c r="V23" s="9">
        <f xml:space="preserve"> (S23/H$30)</f>
        <v>2.5773195876288681E-3</v>
      </c>
      <c r="W23">
        <f>I23/I$30</f>
        <v>0.36780303030303035</v>
      </c>
      <c r="X23" s="6">
        <f t="shared" si="6"/>
        <v>0.13527906910009185</v>
      </c>
    </row>
    <row r="24" spans="1:25" x14ac:dyDescent="0.3">
      <c r="A24" s="29" t="s">
        <v>21</v>
      </c>
      <c r="B24" s="29"/>
      <c r="C24" s="29"/>
      <c r="G24" t="s">
        <v>69</v>
      </c>
      <c r="H24" s="3">
        <v>0.17100000000000001</v>
      </c>
      <c r="I24" s="3">
        <v>16.2</v>
      </c>
      <c r="J24" s="5">
        <f xml:space="preserve"> 0.7 * (H24/H$30) + 0.3 * (I24/I$30)^2</f>
        <v>0.4214700306722331</v>
      </c>
      <c r="N24">
        <f t="shared" si="0"/>
        <v>0.12100000000000001</v>
      </c>
      <c r="O24">
        <f t="shared" si="1"/>
        <v>2.1000000000000019E-2</v>
      </c>
      <c r="P24">
        <f t="shared" si="2"/>
        <v>-7.8999999999999987E-2</v>
      </c>
      <c r="Q24">
        <f t="shared" si="3"/>
        <v>0.12100000000000001</v>
      </c>
      <c r="R24">
        <f t="shared" si="4"/>
        <v>2.1000000000000019E-2</v>
      </c>
      <c r="S24">
        <f t="shared" si="5"/>
        <v>0</v>
      </c>
      <c r="T24" s="9">
        <f t="shared" ref="T24:T29" si="7" xml:space="preserve"> (Q24/H$30)</f>
        <v>0.31185567010309279</v>
      </c>
      <c r="U24" s="9">
        <f t="shared" ref="U24:U29" si="8" xml:space="preserve"> (R24/H$30)</f>
        <v>5.4123711340206229E-2</v>
      </c>
      <c r="V24" s="9">
        <f t="shared" ref="V24:V29" si="9" xml:space="preserve"> (S24/H$30)</f>
        <v>0</v>
      </c>
      <c r="W24">
        <f t="shared" ref="W24:W29" si="10">I24/I$30</f>
        <v>0.61363636363636365</v>
      </c>
      <c r="X24" s="6">
        <f t="shared" si="6"/>
        <v>0.37654958677685951</v>
      </c>
    </row>
    <row r="25" spans="1:25" x14ac:dyDescent="0.3">
      <c r="A25" s="1" t="s">
        <v>22</v>
      </c>
      <c r="C25">
        <f>0.75</f>
        <v>0.75</v>
      </c>
      <c r="D25" t="s">
        <v>18</v>
      </c>
      <c r="G25" t="s">
        <v>70</v>
      </c>
      <c r="H25" s="3">
        <v>0.157</v>
      </c>
      <c r="I25" s="3">
        <v>20.7</v>
      </c>
      <c r="J25" s="5">
        <f t="shared" ref="J25:J29" si="11" xml:space="preserve"> 0.7 * (H25/H$30) + 0.3 * (I25/I$30)^2</f>
        <v>0.46768698879611481</v>
      </c>
      <c r="N25">
        <f t="shared" si="0"/>
        <v>0.107</v>
      </c>
      <c r="O25">
        <f t="shared" si="1"/>
        <v>7.0000000000000062E-3</v>
      </c>
      <c r="P25">
        <f t="shared" si="2"/>
        <v>-9.2999999999999999E-2</v>
      </c>
      <c r="Q25">
        <f t="shared" si="3"/>
        <v>0.107</v>
      </c>
      <c r="R25">
        <f t="shared" si="4"/>
        <v>7.0000000000000062E-3</v>
      </c>
      <c r="S25">
        <f t="shared" si="5"/>
        <v>0</v>
      </c>
      <c r="T25" s="9">
        <f t="shared" si="7"/>
        <v>0.27577319587628862</v>
      </c>
      <c r="U25" s="9">
        <f t="shared" si="8"/>
        <v>1.8041237113402078E-2</v>
      </c>
      <c r="V25" s="9">
        <f t="shared" si="9"/>
        <v>0</v>
      </c>
      <c r="W25">
        <f t="shared" si="10"/>
        <v>0.78409090909090906</v>
      </c>
      <c r="X25" s="6">
        <f t="shared" si="6"/>
        <v>0.61479855371900827</v>
      </c>
    </row>
    <row r="26" spans="1:25" x14ac:dyDescent="0.3">
      <c r="A26" s="1" t="s">
        <v>23</v>
      </c>
      <c r="C26">
        <f>0.6</f>
        <v>0.6</v>
      </c>
      <c r="D26" t="s">
        <v>18</v>
      </c>
      <c r="G26" t="s">
        <v>71</v>
      </c>
      <c r="H26" s="3">
        <v>0.20399999999999999</v>
      </c>
      <c r="I26" s="3">
        <v>24.3</v>
      </c>
      <c r="J26" s="5">
        <f t="shared" si="11"/>
        <v>0.62221220818778211</v>
      </c>
      <c r="N26">
        <f t="shared" si="0"/>
        <v>0.15399999999999997</v>
      </c>
      <c r="O26">
        <f t="shared" si="1"/>
        <v>5.3999999999999992E-2</v>
      </c>
      <c r="P26">
        <f t="shared" si="2"/>
        <v>-4.6000000000000013E-2</v>
      </c>
      <c r="Q26">
        <f t="shared" si="3"/>
        <v>0.15399999999999997</v>
      </c>
      <c r="R26">
        <f t="shared" si="4"/>
        <v>5.3999999999999992E-2</v>
      </c>
      <c r="S26">
        <f t="shared" si="5"/>
        <v>0</v>
      </c>
      <c r="T26" s="9">
        <f t="shared" si="7"/>
        <v>0.39690721649484528</v>
      </c>
      <c r="U26" s="9">
        <f t="shared" si="8"/>
        <v>0.13917525773195874</v>
      </c>
      <c r="V26" s="9">
        <f t="shared" si="9"/>
        <v>0</v>
      </c>
      <c r="W26">
        <f t="shared" si="10"/>
        <v>0.92045454545454553</v>
      </c>
      <c r="X26" s="6">
        <f t="shared" si="6"/>
        <v>0.84723657024793397</v>
      </c>
    </row>
    <row r="27" spans="1:25" x14ac:dyDescent="0.3">
      <c r="A27" s="1" t="s">
        <v>24</v>
      </c>
      <c r="C27">
        <f>0.5</f>
        <v>0.5</v>
      </c>
      <c r="D27" t="s">
        <v>18</v>
      </c>
      <c r="G27" t="s">
        <v>72</v>
      </c>
      <c r="H27" s="3">
        <v>0.38800000000000001</v>
      </c>
      <c r="I27" s="3">
        <v>12.4</v>
      </c>
      <c r="J27" s="5">
        <f t="shared" si="11"/>
        <v>0.76618457300275478</v>
      </c>
      <c r="N27">
        <f t="shared" si="0"/>
        <v>0.33800000000000002</v>
      </c>
      <c r="O27">
        <f t="shared" si="1"/>
        <v>0.23800000000000002</v>
      </c>
      <c r="P27">
        <f t="shared" si="2"/>
        <v>0.13800000000000001</v>
      </c>
      <c r="Q27">
        <f t="shared" si="3"/>
        <v>0.33800000000000002</v>
      </c>
      <c r="R27">
        <f t="shared" si="4"/>
        <v>0.23800000000000002</v>
      </c>
      <c r="S27">
        <f t="shared" si="5"/>
        <v>0.13800000000000001</v>
      </c>
      <c r="T27" s="9">
        <f t="shared" si="7"/>
        <v>0.87113402061855671</v>
      </c>
      <c r="U27" s="9">
        <f t="shared" si="8"/>
        <v>0.61340206185567014</v>
      </c>
      <c r="V27" s="9">
        <f t="shared" si="9"/>
        <v>0.35567010309278352</v>
      </c>
      <c r="W27">
        <f t="shared" si="10"/>
        <v>0.46969696969696972</v>
      </c>
      <c r="X27" s="6">
        <f t="shared" si="6"/>
        <v>0.22061524334251609</v>
      </c>
    </row>
    <row r="28" spans="1:25" x14ac:dyDescent="0.3">
      <c r="A28" s="1" t="s">
        <v>25</v>
      </c>
      <c r="C28">
        <f>1</f>
        <v>1</v>
      </c>
      <c r="D28" t="s">
        <v>18</v>
      </c>
      <c r="G28" t="s">
        <v>73</v>
      </c>
      <c r="H28" s="3">
        <v>0.29599999999999999</v>
      </c>
      <c r="I28" s="3">
        <v>18.7</v>
      </c>
      <c r="J28" s="5">
        <f t="shared" si="11"/>
        <v>0.68454145189003424</v>
      </c>
      <c r="N28">
        <f t="shared" si="0"/>
        <v>0.246</v>
      </c>
      <c r="O28">
        <f t="shared" si="1"/>
        <v>0.14599999999999999</v>
      </c>
      <c r="P28">
        <f t="shared" si="2"/>
        <v>4.5999999999999985E-2</v>
      </c>
      <c r="Q28">
        <f t="shared" si="3"/>
        <v>0.246</v>
      </c>
      <c r="R28">
        <f t="shared" si="4"/>
        <v>0.14599999999999999</v>
      </c>
      <c r="S28">
        <f t="shared" si="5"/>
        <v>4.5999999999999985E-2</v>
      </c>
      <c r="T28" s="9">
        <f t="shared" si="7"/>
        <v>0.634020618556701</v>
      </c>
      <c r="U28" s="9">
        <f t="shared" si="8"/>
        <v>0.37628865979381437</v>
      </c>
      <c r="V28" s="9">
        <f t="shared" si="9"/>
        <v>0.11855670103092779</v>
      </c>
      <c r="W28">
        <f t="shared" si="10"/>
        <v>0.70833333333333337</v>
      </c>
      <c r="X28" s="6">
        <f t="shared" si="6"/>
        <v>0.50173611111111116</v>
      </c>
    </row>
    <row r="29" spans="1:25" x14ac:dyDescent="0.3">
      <c r="A29" s="1" t="s">
        <v>63</v>
      </c>
      <c r="C29">
        <v>0.85</v>
      </c>
      <c r="G29" t="s">
        <v>74</v>
      </c>
      <c r="H29" s="3">
        <v>0.35199999999999998</v>
      </c>
      <c r="I29" s="3">
        <v>26.4</v>
      </c>
      <c r="J29" s="5">
        <f t="shared" si="11"/>
        <v>0.93505154639175236</v>
      </c>
      <c r="N29">
        <f t="shared" si="0"/>
        <v>0.30199999999999999</v>
      </c>
      <c r="O29">
        <f t="shared" si="1"/>
        <v>0.20199999999999999</v>
      </c>
      <c r="P29">
        <f t="shared" si="2"/>
        <v>0.10199999999999998</v>
      </c>
      <c r="Q29">
        <f t="shared" si="3"/>
        <v>0.30199999999999999</v>
      </c>
      <c r="R29">
        <f t="shared" si="4"/>
        <v>0.20199999999999999</v>
      </c>
      <c r="S29">
        <f t="shared" si="5"/>
        <v>0.10199999999999998</v>
      </c>
      <c r="T29" s="9">
        <f t="shared" si="7"/>
        <v>0.77835051546391743</v>
      </c>
      <c r="U29" s="9">
        <f t="shared" si="8"/>
        <v>0.52061855670103085</v>
      </c>
      <c r="V29" s="9">
        <f t="shared" si="9"/>
        <v>0.26288659793814428</v>
      </c>
      <c r="W29">
        <f t="shared" si="10"/>
        <v>1</v>
      </c>
      <c r="X29" s="6">
        <f t="shared" si="6"/>
        <v>1</v>
      </c>
    </row>
    <row r="30" spans="1:25" x14ac:dyDescent="0.3">
      <c r="H30" s="10">
        <f xml:space="preserve"> MAX(H20:H29)</f>
        <v>0.38800000000000001</v>
      </c>
      <c r="I30" s="10">
        <f xml:space="preserve"> MAX(I20:I29)</f>
        <v>26.4</v>
      </c>
    </row>
    <row r="33" spans="6:14" x14ac:dyDescent="0.3">
      <c r="F33" s="25" t="s">
        <v>31</v>
      </c>
      <c r="G33" s="25"/>
    </row>
    <row r="34" spans="6:14" x14ac:dyDescent="0.3">
      <c r="F34" t="s">
        <v>32</v>
      </c>
    </row>
    <row r="39" spans="6:14" x14ac:dyDescent="0.3">
      <c r="G39" t="s">
        <v>65</v>
      </c>
      <c r="H39" s="4">
        <f xml:space="preserve"> IF(T$20 &gt;0,$C$4 * (0.7 * T$20 + 0.3 * $X$20) * $C$28, 0)</f>
        <v>1.910395189003436E-2</v>
      </c>
      <c r="I39" s="4">
        <f xml:space="preserve"> IF(U20&gt;0, $C$4 * (0.7 * U$20 + 0.3 * $X$20) * $C$28, $Y$20 * $X$20)</f>
        <v>3.361111111111112E-3</v>
      </c>
      <c r="J39" s="4">
        <f xml:space="preserve"> IF(V20&gt;0, $C$4 * (0.7 * V$20 + 0.3 * $X$20) * $C$28, $Y$20 * $X$20)</f>
        <v>3.361111111111112E-3</v>
      </c>
      <c r="L39" t="s">
        <v>43</v>
      </c>
      <c r="M39" t="s">
        <v>44</v>
      </c>
      <c r="N39" t="s">
        <v>45</v>
      </c>
    </row>
    <row r="40" spans="6:14" x14ac:dyDescent="0.3">
      <c r="H40" s="4">
        <f xml:space="preserve"> IF(T20&gt;0, C$4 * (0.7 * T$20 + 0.3 * X$20) * C$26, 0)</f>
        <v>1.1462371134020615E-2</v>
      </c>
      <c r="I40" s="4">
        <f xml:space="preserve"> IF(U20&gt;0,$C$4 * (0.7 * U$20 + 0.3 * $X$20) * $C$26, $Y$20 * $X$20)</f>
        <v>3.361111111111112E-3</v>
      </c>
      <c r="J40" s="4">
        <f xml:space="preserve"> IF(V20&gt;0, $C$4 * (0.7 * V$20 + 0.3 * $X$20) * $C$26, $Y$20 * $X$20)</f>
        <v>3.361111111111112E-3</v>
      </c>
      <c r="L40" t="s">
        <v>46</v>
      </c>
      <c r="M40" t="s">
        <v>47</v>
      </c>
      <c r="N40" t="s">
        <v>48</v>
      </c>
    </row>
    <row r="41" spans="6:14" x14ac:dyDescent="0.3">
      <c r="H41" s="4">
        <f xml:space="preserve"> IF(T20&gt;0, C$4 * (0.7 * T$20 + 0.3 * X$20) * C$25, 0)</f>
        <v>1.432796391752577E-2</v>
      </c>
      <c r="I41" s="4">
        <f xml:space="preserve"> IF(U20&gt;0, $C$4 * (0.7 * U$20 + 0.3 * $X$20) * $C$25, $Y$20 * $X$20)</f>
        <v>3.361111111111112E-3</v>
      </c>
      <c r="J41" s="4">
        <f xml:space="preserve"> IF(V20&gt;0, $C$4 * (0.7 * V$20 + 0.3 * $X$20) * $C$25, $Y$20 * $X$20)</f>
        <v>3.361111111111112E-3</v>
      </c>
      <c r="L41" t="s">
        <v>49</v>
      </c>
      <c r="M41" t="s">
        <v>50</v>
      </c>
      <c r="N41" t="s">
        <v>51</v>
      </c>
    </row>
    <row r="42" spans="6:14" x14ac:dyDescent="0.3">
      <c r="H42" s="4">
        <f xml:space="preserve"> IF(T20&gt;0, C$2 * (0.7 * T$20 + 0.3 * X$20) * C$28, 0)</f>
        <v>1.1462371134020615E-2</v>
      </c>
      <c r="I42" s="4">
        <f xml:space="preserve"> IF(U20&gt;0,$C$2 * (0.7 * U$20 + 0.3 * $X$20) * $C$28, $Y$20 * $X$20)</f>
        <v>3.361111111111112E-3</v>
      </c>
      <c r="J42" s="4">
        <f xml:space="preserve"> IF(V20&gt;0, $C$2 * (0.7 * V$20 + 0.3 * $X$20) * $C$28, $Y$20 * $X$20)</f>
        <v>3.361111111111112E-3</v>
      </c>
      <c r="L42" t="s">
        <v>34</v>
      </c>
      <c r="M42" t="s">
        <v>35</v>
      </c>
      <c r="N42" t="s">
        <v>36</v>
      </c>
    </row>
    <row r="43" spans="6:14" x14ac:dyDescent="0.3">
      <c r="H43" s="4">
        <f xml:space="preserve"> IF(T20&gt;0, C$2 * (0.7 * T$20 + 0.3 * X$20) * C$29, 0)</f>
        <v>9.7430154639175232E-3</v>
      </c>
      <c r="I43" s="4">
        <f xml:space="preserve"> IF(U20&gt;0, $C$2 * (0.7 * U$20 + 0.3 * $X$20) * $C$29, $Y$20 * $X$20)</f>
        <v>3.361111111111112E-3</v>
      </c>
      <c r="J43" s="4">
        <f xml:space="preserve"> IF(V20&gt;0, $C$2 * (0.7 * V$20 + 0.3 * $X$20) * $C$29, $Y$20 * $X$20)</f>
        <v>3.361111111111112E-3</v>
      </c>
      <c r="L43" t="s">
        <v>57</v>
      </c>
      <c r="M43" t="s">
        <v>58</v>
      </c>
      <c r="N43" t="s">
        <v>59</v>
      </c>
    </row>
    <row r="44" spans="6:14" x14ac:dyDescent="0.3">
      <c r="H44" s="4">
        <f xml:space="preserve"> IF(T20&gt;0, C$3 * (0.7 * T$20 + 0.3 * X$20) * C$28, 0)</f>
        <v>1.432796391752577E-2</v>
      </c>
      <c r="I44" s="4">
        <f xml:space="preserve"> IF(U20&gt;0, $C$3 * (0.7 * U$20 + 0.3 * $X$20) * $C$28, $Y$20 * $X$20)</f>
        <v>3.361111111111112E-3</v>
      </c>
      <c r="J44" s="4">
        <f xml:space="preserve"> IF(V20&gt;0, $C$3 * (0.7 * V$20 + 0.3 * $X$20) * $C$28, $Y$20 * $X$20)</f>
        <v>3.361111111111112E-3</v>
      </c>
      <c r="L44" t="s">
        <v>37</v>
      </c>
      <c r="M44" t="s">
        <v>38</v>
      </c>
      <c r="N44" t="s">
        <v>39</v>
      </c>
    </row>
    <row r="45" spans="6:14" x14ac:dyDescent="0.3">
      <c r="H45" s="4">
        <f xml:space="preserve"> IF(T20 &gt; 0, C$3 * (0.7 * T$20 + 0.3 * X$20) * C$27, 0)</f>
        <v>7.1639819587628849E-3</v>
      </c>
      <c r="I45" s="4">
        <f xml:space="preserve"> IF(U20&gt;0, $C$3 * (0.7 * U$20 + 0.3 * $X$20) * $C$27,$Y$20 * $X$20)</f>
        <v>3.361111111111112E-3</v>
      </c>
      <c r="J45" s="4">
        <f xml:space="preserve"> IF(V20&gt;0, $C$3 * (0.7 * V$20 + 0.3 * $X$20) * $C$27, $Y$20 * $X$20)</f>
        <v>3.361111111111112E-3</v>
      </c>
      <c r="L45" t="s">
        <v>40</v>
      </c>
      <c r="M45" t="s">
        <v>41</v>
      </c>
      <c r="N45" t="s">
        <v>42</v>
      </c>
    </row>
    <row r="46" spans="6:14" x14ac:dyDescent="0.3">
      <c r="H46" s="4">
        <f xml:space="preserve"> IF(T20&gt;0, C$3 * (0.7 * T$20 + 0.3 * X$20) * C$29, 0)</f>
        <v>1.2178769329896904E-2</v>
      </c>
      <c r="I46" s="4">
        <f xml:space="preserve"> IF(U20&gt;0, $C$3 * (0.7 * U$20 + 0.3 * $X$20) * $C$29,$Y$20 * $X$20)</f>
        <v>3.361111111111112E-3</v>
      </c>
      <c r="J46" s="4">
        <f xml:space="preserve"> IF(V20&gt;0, $C$3 * (0.7 * V$20 + 0.3 * $X$20) * $C$29, $Y$20 * $X$20)</f>
        <v>3.361111111111112E-3</v>
      </c>
      <c r="L46" t="s">
        <v>60</v>
      </c>
      <c r="M46" t="s">
        <v>61</v>
      </c>
      <c r="N46" t="s">
        <v>62</v>
      </c>
    </row>
    <row r="48" spans="6:14" x14ac:dyDescent="0.3">
      <c r="G48" t="s">
        <v>66</v>
      </c>
      <c r="H48" s="4">
        <f xml:space="preserve"> IF(T21 &gt; 0, $C$4 * (0.7 * T$21 + 0.3 * $X$21) * $C$28, 0)</f>
        <v>0.16384525476768622</v>
      </c>
      <c r="I48" s="4">
        <f xml:space="preserve"> IF(U21&gt;0, $C$4 * (0.7 * U$21 + 0.3 * $X$21) * $C$28, $Y$20 * $X$21)</f>
        <v>8.3092429981634543E-3</v>
      </c>
      <c r="J48" s="4">
        <f xml:space="preserve"> IF(V21&gt;0,$C$4 * (0.7 * V$21 + 0.3 * $X$21) * $C$28, $Y$20 * $X$21)</f>
        <v>8.3092429981634543E-3</v>
      </c>
      <c r="L48" t="s">
        <v>43</v>
      </c>
      <c r="M48" t="s">
        <v>44</v>
      </c>
      <c r="N48" t="s">
        <v>45</v>
      </c>
    </row>
    <row r="49" spans="7:14" x14ac:dyDescent="0.3">
      <c r="H49" s="4">
        <f xml:space="preserve"> IF(T21 &gt;0, $C$4 * (0.7 * T$21 + 0.3 * $X$21) * $C$26, 0)</f>
        <v>9.830715286061173E-2</v>
      </c>
      <c r="I49" s="4">
        <f xml:space="preserve"> IF(U21&gt;0,$C$4 * (0.7 * U$21 + 0.3 * $X$21) * $C$26, $Y$20 * $X$21)</f>
        <v>8.3092429981634543E-3</v>
      </c>
      <c r="J49" s="4">
        <f xml:space="preserve"> IF(V21&gt;0,$C$4 * (0.7 * V$21 + 0.3 * $X$21) * $C$26, $Y$20 * $X$21)</f>
        <v>8.3092429981634543E-3</v>
      </c>
      <c r="L49" t="s">
        <v>46</v>
      </c>
      <c r="M49" t="s">
        <v>47</v>
      </c>
      <c r="N49" t="s">
        <v>48</v>
      </c>
    </row>
    <row r="50" spans="7:14" x14ac:dyDescent="0.3">
      <c r="H50" s="4">
        <f xml:space="preserve"> IF(T21&gt;0, $C$4 * (0.7 * T$21 + 0.3 * $X$21) * $C$25, 0)</f>
        <v>0.12288394107576467</v>
      </c>
      <c r="I50" s="4">
        <f xml:space="preserve"> IF(U21&gt;0,$C$4 * (0.7 * U$21 + 0.3 * $X$21) * $C$25, $Y$20 * $X$21)</f>
        <v>8.3092429981634543E-3</v>
      </c>
      <c r="J50" s="4">
        <f xml:space="preserve"> IF(V21&gt;0,$C$4 * (0.7 * V$21 + 0.3 * $X$21) * $C$25,$Y$20 * $X$21)</f>
        <v>8.3092429981634543E-3</v>
      </c>
      <c r="L50" t="s">
        <v>49</v>
      </c>
      <c r="M50" t="s">
        <v>50</v>
      </c>
      <c r="N50" t="s">
        <v>51</v>
      </c>
    </row>
    <row r="51" spans="7:14" x14ac:dyDescent="0.3">
      <c r="H51" s="4">
        <f xml:space="preserve"> IF(T21&gt;0, $C$2 * (0.7 * T$21 + 0.3 * $X$21) * $C$28, 0)</f>
        <v>9.830715286061173E-2</v>
      </c>
      <c r="I51" s="4">
        <f xml:space="preserve"> IF(U21&gt;0,$C$2 * (0.7 * U$21 + 0.3 * $X$21) * $C$28, $Y$20 * $X$21)</f>
        <v>8.3092429981634543E-3</v>
      </c>
      <c r="J51" s="4">
        <f xml:space="preserve"> IF(V21&gt;0,$C$2 * (0.7 * V$21 + 0.3 * $X$21) * $C$28,$Y$20 * $X$21)</f>
        <v>8.3092429981634543E-3</v>
      </c>
      <c r="L51" t="s">
        <v>34</v>
      </c>
      <c r="M51" t="s">
        <v>35</v>
      </c>
      <c r="N51" t="s">
        <v>36</v>
      </c>
    </row>
    <row r="52" spans="7:14" x14ac:dyDescent="0.3">
      <c r="H52" s="4">
        <f xml:space="preserve"> IF(T21&gt;0, $C$2 * (0.7 * T$21 + 0.3 * $X$21) * $C$29, 0)</f>
        <v>8.3561079931519969E-2</v>
      </c>
      <c r="I52" s="4">
        <f xml:space="preserve"> IF(U21&gt;0,$C$2 * (0.7 * U$21 + 0.3 * $X$21) * $C$29, $Y$20 * $X$21)</f>
        <v>8.3092429981634543E-3</v>
      </c>
      <c r="J52" s="4">
        <f xml:space="preserve"> IF(V21&gt;0, $C$2 * (0.7 * V$21 + 0.3 * $X$21) * $C$29,$Y$20 * $X$21)</f>
        <v>8.3092429981634543E-3</v>
      </c>
      <c r="L52" t="s">
        <v>57</v>
      </c>
      <c r="M52" t="s">
        <v>58</v>
      </c>
      <c r="N52" t="s">
        <v>59</v>
      </c>
    </row>
    <row r="53" spans="7:14" x14ac:dyDescent="0.3">
      <c r="H53" s="4">
        <f xml:space="preserve"> IF(T21&gt;0, $C$3 * (0.7 * T$21 + 0.3 * $X$21) * $C$28, 0)</f>
        <v>0.12288394107576467</v>
      </c>
      <c r="I53" s="4">
        <f xml:space="preserve"> IF(U21&gt;0,$C$3 * (0.7 * U$21 + 0.3 * $X$21) * $C$28, $Y$20 * $X$21)</f>
        <v>8.3092429981634543E-3</v>
      </c>
      <c r="J53" s="4">
        <f xml:space="preserve"> IF(V21&gt;0, $C$3 * (0.7 * V$21 + 0.3 * $X$21) * $C$28,$Y$20 * $X$21)</f>
        <v>8.3092429981634543E-3</v>
      </c>
      <c r="L53" t="s">
        <v>37</v>
      </c>
      <c r="M53" t="s">
        <v>38</v>
      </c>
      <c r="N53" t="s">
        <v>39</v>
      </c>
    </row>
    <row r="54" spans="7:14" x14ac:dyDescent="0.3">
      <c r="H54" s="4">
        <f xml:space="preserve"> IF(T21&gt;0, $C$3 * (0.7 * T$21 + 0.3 * $X$21) * $C$27, 0)</f>
        <v>6.1441970537882334E-2</v>
      </c>
      <c r="I54" s="4">
        <f xml:space="preserve"> IF(U21&gt;0,$C$3 * (0.7 * U$21 + 0.3 * $X$21) * $C$27, $Y$20 * $X$21 )</f>
        <v>8.3092429981634543E-3</v>
      </c>
      <c r="J54" s="4">
        <f xml:space="preserve"> IF(V21&gt;0, $C$3 * (0.7 * V$21 + 0.3 * $X$21) * $C$27, $Y$20 * $X$21)</f>
        <v>8.3092429981634543E-3</v>
      </c>
      <c r="L54" t="s">
        <v>40</v>
      </c>
      <c r="M54" t="s">
        <v>41</v>
      </c>
      <c r="N54" t="s">
        <v>42</v>
      </c>
    </row>
    <row r="55" spans="7:14" x14ac:dyDescent="0.3">
      <c r="H55" s="4">
        <f xml:space="preserve"> IF(T21&gt;0, $C$3 * (0.7 * T$21 + 0.3 * $X$21) * $C$29, 0)</f>
        <v>0.10445134991439997</v>
      </c>
      <c r="I55" s="4">
        <f>IF(U21&gt;0, $C$3 * (0.7 * U$21 + 0.3 * $X$21) * $C$29, 0)</f>
        <v>0</v>
      </c>
      <c r="J55" s="4">
        <f xml:space="preserve"> IF(V21&gt;0, $C$3 * (0.7 * V$21 + 0.3 * $X$21) * $C$29, $Y$20 * $X$21)</f>
        <v>8.3092429981634543E-3</v>
      </c>
      <c r="L55" t="s">
        <v>60</v>
      </c>
      <c r="M55" t="s">
        <v>61</v>
      </c>
      <c r="N55" t="s">
        <v>62</v>
      </c>
    </row>
    <row r="57" spans="7:14" x14ac:dyDescent="0.3">
      <c r="G57" t="s">
        <v>67</v>
      </c>
      <c r="H57" s="4">
        <f xml:space="preserve">  IF(T22&gt;0, $C$4 * (0.7 * T$22 + 0.3 * $X$22) * $C$28, $Y$20 * $X$22)</f>
        <v>0.23441258591065289</v>
      </c>
      <c r="I57" s="4">
        <f xml:space="preserve"> IF(U22&gt;0, $C$4 * (0.7 * U$22 + 0.3 * $X$22) * $C$28, $Y$20 * $X$22)</f>
        <v>2.100694444444445E-2</v>
      </c>
      <c r="J57" s="4">
        <f xml:space="preserve"> IF(V22&gt;0, $C$4 * (0.7 * V$22 + 0.3 * $X$22) * $C$28, $Y$20 * $X$22)</f>
        <v>2.100694444444445E-2</v>
      </c>
      <c r="L57" t="s">
        <v>43</v>
      </c>
      <c r="M57" t="s">
        <v>44</v>
      </c>
      <c r="N57" t="s">
        <v>45</v>
      </c>
    </row>
    <row r="58" spans="7:14" x14ac:dyDescent="0.3">
      <c r="H58" s="4">
        <f xml:space="preserve"> IF(T22&gt;0,$C$4 * (0.7 * T$22 + 0.3 * $X$22) * $C$26,  $Y$20 * $X$22)</f>
        <v>0.14064755154639172</v>
      </c>
      <c r="I58" s="4">
        <f xml:space="preserve"> IF(U22&gt;0, $C$4 * (0.7 * U$22 + 0.3 * $X$22) * $C$26, $Y$20 * $X$22)</f>
        <v>2.100694444444445E-2</v>
      </c>
      <c r="J58" s="4">
        <f>IF(V22&gt;0, $C$4 * (0.7 * V$22 + 0.3 * $X$22) * $C$26, $Y$20 * $X$22)</f>
        <v>2.100694444444445E-2</v>
      </c>
      <c r="L58" t="s">
        <v>46</v>
      </c>
      <c r="M58" t="s">
        <v>47</v>
      </c>
      <c r="N58" t="s">
        <v>48</v>
      </c>
    </row>
    <row r="59" spans="7:14" x14ac:dyDescent="0.3">
      <c r="H59" s="4">
        <f xml:space="preserve"> IF(T22&gt;0, $C$4 * (0.7 * T$22 + 0.3 * $X$22) * $C$25,  $Y$20 * $X$22)</f>
        <v>0.17580943943298966</v>
      </c>
      <c r="I59" s="4">
        <f xml:space="preserve"> IF(U22&gt;0, $C$4 * (0.7 * U$22 + 0.3 * $X$22) * $C$25, $Y$20 * $X$22)</f>
        <v>2.100694444444445E-2</v>
      </c>
      <c r="J59" s="4">
        <f xml:space="preserve"> IF(V22&gt;0, $C$4 * (0.7 * V$22 + 0.3 * $X$22) * $C$25, $Y$20 * $X$22)</f>
        <v>2.100694444444445E-2</v>
      </c>
      <c r="L59" t="s">
        <v>49</v>
      </c>
      <c r="M59" t="s">
        <v>50</v>
      </c>
      <c r="N59" t="s">
        <v>51</v>
      </c>
    </row>
    <row r="60" spans="7:14" x14ac:dyDescent="0.3">
      <c r="H60" s="4">
        <f xml:space="preserve"> IF(T22&gt;0, $C$2 * (0.7 * T$22 + 0.3 * $X$22) * $C$28,  $Y$20 * $X$22)</f>
        <v>0.14064755154639172</v>
      </c>
      <c r="I60" s="4">
        <f xml:space="preserve"> IF(U22&gt;0, $C$2 * (0.7 * U$22 + 0.3 * $X$22) * $C$28, $Y$20 * $X$22)</f>
        <v>2.100694444444445E-2</v>
      </c>
      <c r="J60" s="4">
        <f xml:space="preserve"> IF(V22&gt;0, $C$2 * (0.7 * V$22 + 0.3 * $X$22) * $C$28, $Y$20 * $X$22)</f>
        <v>2.100694444444445E-2</v>
      </c>
      <c r="L60" t="s">
        <v>34</v>
      </c>
      <c r="M60" t="s">
        <v>35</v>
      </c>
      <c r="N60" t="s">
        <v>36</v>
      </c>
    </row>
    <row r="61" spans="7:14" x14ac:dyDescent="0.3">
      <c r="H61" s="4">
        <f xml:space="preserve"> IF(T22&gt;0, $C$2 * (0.7 * T$22 + 0.3 * $X$22) * $C$29,  $Y$20 * $X$22)</f>
        <v>0.11955041881443296</v>
      </c>
      <c r="I61" s="4">
        <f xml:space="preserve"> IF(U22&gt;0, $C$2 * (0.7 * U$22 + 0.3 * $X$22) * $C$29, $Y$20 * $X$22)</f>
        <v>2.100694444444445E-2</v>
      </c>
      <c r="J61" s="4">
        <f xml:space="preserve"> IF(V22&gt;0, $C$2 * (0.7 * V$22 + 0.3 * $X$22) * $C$29, $Y$20 * $X$22)</f>
        <v>2.100694444444445E-2</v>
      </c>
      <c r="L61" t="s">
        <v>57</v>
      </c>
      <c r="M61" t="s">
        <v>58</v>
      </c>
      <c r="N61" t="s">
        <v>59</v>
      </c>
    </row>
    <row r="62" spans="7:14" x14ac:dyDescent="0.3">
      <c r="H62" s="4">
        <f xml:space="preserve"> IF(T22&gt;0, $C$3 * (0.7 * T$22 + 0.3 * $X$22) * $C$28,  $Y$20 * $X$22)</f>
        <v>0.17580943943298966</v>
      </c>
      <c r="I62" s="4">
        <f xml:space="preserve"> IF(U22&gt;0, $C$3 * (0.7 * U$22 + 0.3 * $X$22) * $C$28, $Y$20 * $X$22)</f>
        <v>2.100694444444445E-2</v>
      </c>
      <c r="J62" s="4">
        <f xml:space="preserve"> IF(V22&gt;0, $C$3 * (0.7 * V$22 + 0.3 * $X$22) * $C$28, $Y$20 * $X$22)</f>
        <v>2.100694444444445E-2</v>
      </c>
      <c r="L62" t="s">
        <v>37</v>
      </c>
      <c r="M62" t="s">
        <v>38</v>
      </c>
      <c r="N62" t="s">
        <v>39</v>
      </c>
    </row>
    <row r="63" spans="7:14" x14ac:dyDescent="0.3">
      <c r="H63" s="4">
        <f xml:space="preserve"> IF(T22&gt;0, $C$3 * (0.7 * T$22 + 0.3 * $X$22) * $C$27,  $Y$20 * $X$22)</f>
        <v>8.7904719716494828E-2</v>
      </c>
      <c r="I63" s="4">
        <f xml:space="preserve"> IF(U22&gt;0, $C$3 * (0.7 * U$22 + 0.3 * $X$22) * $C$27, $Y$20 * $X$22)</f>
        <v>2.100694444444445E-2</v>
      </c>
      <c r="J63" s="4">
        <f xml:space="preserve"> IF(V22&gt;0, $C$3 * (0.7 * V$22 + 0.3 * $X$22) * $C$27, $Y$20 * $X$22)</f>
        <v>2.100694444444445E-2</v>
      </c>
      <c r="L63" t="s">
        <v>40</v>
      </c>
      <c r="M63" t="s">
        <v>41</v>
      </c>
      <c r="N63" t="s">
        <v>42</v>
      </c>
    </row>
    <row r="64" spans="7:14" x14ac:dyDescent="0.3">
      <c r="H64" s="4">
        <f xml:space="preserve"> IF(T22&gt;0, $C$3 * (0.7 * T$22 + 0.3 * $X$22) * $C$29,  $Y$20 * $X$22)</f>
        <v>0.1494380235180412</v>
      </c>
      <c r="I64" s="4">
        <f xml:space="preserve"> IF(U22&gt;0, $C$3 * (0.7 * U$22 + 0.3 * $X$22) * $C$29, $Y$20 * $X$22)</f>
        <v>2.100694444444445E-2</v>
      </c>
      <c r="J64" s="4">
        <f xml:space="preserve"> IF(V22&gt;0, $C$3 * (0.7 * V$22 + 0.3 * $X$22) * $C$29, $Y$20 * $X$22)</f>
        <v>2.100694444444445E-2</v>
      </c>
      <c r="L64" t="s">
        <v>60</v>
      </c>
      <c r="M64" t="s">
        <v>61</v>
      </c>
      <c r="N64" t="s">
        <v>62</v>
      </c>
    </row>
    <row r="66" spans="7:14" x14ac:dyDescent="0.3">
      <c r="G66" t="s">
        <v>68</v>
      </c>
      <c r="H66" s="4">
        <f xml:space="preserve"> IF(T23&gt;0, $C$4 * (0.7 * T$23 + 0.3 * $X$23) * $C$28,  $Y$20 * $X$23)</f>
        <v>0.40321258670940896</v>
      </c>
      <c r="I66" s="4">
        <f xml:space="preserve"> IF(U23&gt;0, $C$4 * (0.7 * U$23 + 0.3 * $X$23) * $C$28, $Y$20 * $X$23)</f>
        <v>0.22280021557538837</v>
      </c>
      <c r="J66" s="4">
        <f xml:space="preserve"> IF(V23&gt;0, $C$4 * (0.7 * V$23 + 0.3 * $X$23) * $C$28,$Y$20 * $X$23)</f>
        <v>4.2387844441367763E-2</v>
      </c>
      <c r="L66" t="s">
        <v>43</v>
      </c>
      <c r="M66" t="s">
        <v>44</v>
      </c>
      <c r="N66" t="s">
        <v>45</v>
      </c>
    </row>
    <row r="67" spans="7:14" x14ac:dyDescent="0.3">
      <c r="H67" s="4">
        <f xml:space="preserve"> IF(T23&gt;0, $C$4 * (0.7 * T$23 + 0.3 * $X$23) * $C$26, $Y$20 * $X$23)</f>
        <v>0.24192755202564536</v>
      </c>
      <c r="I67" s="4">
        <f xml:space="preserve"> IF(U23&gt;0, $C$4 * (0.7 * U$23 + 0.3 * $X$23) * $C$26, $Y$20 * $X$23)</f>
        <v>0.13368012934523302</v>
      </c>
      <c r="J67" s="4">
        <f xml:space="preserve"> IF(V23&gt;0, $C$4 * (0.7 * V$23+ 0.3 * $X$23) * $C$26, $Y$20 * $X$23)</f>
        <v>2.5432706664820656E-2</v>
      </c>
      <c r="L67" t="s">
        <v>46</v>
      </c>
      <c r="M67" t="s">
        <v>47</v>
      </c>
      <c r="N67" t="s">
        <v>48</v>
      </c>
    </row>
    <row r="68" spans="7:14" x14ac:dyDescent="0.3">
      <c r="H68" s="4">
        <f xml:space="preserve"> IF(T23&gt;0, $C$4 * (0.7 * T$23 + 0.3 * $X$23) * $C$25, $Y$20 * $X$23)</f>
        <v>0.30240944003205672</v>
      </c>
      <c r="I68" s="4">
        <f xml:space="preserve"> IF(U23&gt;0, $C$4 * (0.7 * U$23 + 0.3 * $X$23) * $C$25, $Y$20 * $X$23)</f>
        <v>0.16710016168154129</v>
      </c>
      <c r="J68" s="4">
        <f xml:space="preserve"> IF(V23&gt;0, $C$4 * (0.7 * V$23+ 0.3 * $X$23) * $C$25, $Y$20 * $X$23)</f>
        <v>3.1790883331025824E-2</v>
      </c>
      <c r="L68" t="s">
        <v>49</v>
      </c>
      <c r="M68" t="s">
        <v>50</v>
      </c>
      <c r="N68" t="s">
        <v>51</v>
      </c>
    </row>
    <row r="69" spans="7:14" x14ac:dyDescent="0.3">
      <c r="H69" s="4">
        <f xml:space="preserve"> IF(T23&gt;0, $C$2 * (0.7 * T$23 + 0.3 * $X$23) * $C$28, $Y$20 * $X$23)</f>
        <v>0.24192755202564536</v>
      </c>
      <c r="I69" s="4">
        <f xml:space="preserve"> IF(U23&gt;0, $C$2 * (0.7 * U$23 + 0.3 * $X$23) * $C$28, $Y$20 * $X$23)</f>
        <v>0.13368012934523302</v>
      </c>
      <c r="J69" s="4">
        <f xml:space="preserve"> IF(V23&gt;0, $C$2 * (0.7 * V$23 + 0.3 * $X$23) * $C$28, $Y$20 * $X$23)</f>
        <v>2.5432706664820656E-2</v>
      </c>
      <c r="L69" t="s">
        <v>34</v>
      </c>
      <c r="M69" t="s">
        <v>35</v>
      </c>
      <c r="N69" t="s">
        <v>36</v>
      </c>
    </row>
    <row r="70" spans="7:14" x14ac:dyDescent="0.3">
      <c r="H70" s="4">
        <f xml:space="preserve"> IF(T23&gt;0, $C$2 * (0.7 * T$23 + 0.3 * $X$23) * $C$29, $Y$20 * $X$23)</f>
        <v>0.20563841922179857</v>
      </c>
      <c r="I70" s="4">
        <f xml:space="preserve"> IF(U23&gt;0, $C$2 * (0.7 * U$23 + 0.3 * $X$23) * $C$29, $Y$20 * $X$23)</f>
        <v>0.11362810994344806</v>
      </c>
      <c r="J70" s="4">
        <f xml:space="preserve"> IF(V23&gt;0, $C$2 * (0.7 * V$23 + 0.3 * $X$23) * $C$29, $Y$20 * $X$23)</f>
        <v>2.1617800665097556E-2</v>
      </c>
      <c r="L70" t="s">
        <v>57</v>
      </c>
      <c r="M70" t="s">
        <v>58</v>
      </c>
      <c r="N70" t="s">
        <v>59</v>
      </c>
    </row>
    <row r="71" spans="7:14" x14ac:dyDescent="0.3">
      <c r="H71" s="4">
        <f xml:space="preserve"> IF(T23&gt;0, $C$3 * (0.7 * T$23 + 0.3 * $X$23) * $C$28,$Y$20 * $X$23)</f>
        <v>0.30240944003205672</v>
      </c>
      <c r="I71" s="4">
        <f xml:space="preserve"> IF(U23&gt;0, $C$3 * (0.7 * U$23 + 0.3 * $X$23) * $C$28, $Y$20 * $X$23)</f>
        <v>0.16710016168154129</v>
      </c>
      <c r="J71" s="4">
        <f xml:space="preserve"> IF(V23&gt;0, $C$3 * (0.7 * V$23 + 0.3 * $X$23) * $C$28, $Y$20 * $X$23)</f>
        <v>3.1790883331025824E-2</v>
      </c>
      <c r="L71" t="s">
        <v>37</v>
      </c>
      <c r="M71" t="s">
        <v>38</v>
      </c>
      <c r="N71" t="s">
        <v>39</v>
      </c>
    </row>
    <row r="72" spans="7:14" x14ac:dyDescent="0.3">
      <c r="H72" s="4">
        <f xml:space="preserve"> IF(T23&gt;0, $C$3 * (0.7 * T$23 + 0.3 * $X$23) * $C$27, $Y$20 * $X$23)</f>
        <v>0.15120472001602836</v>
      </c>
      <c r="I72" s="4">
        <f xml:space="preserve"> IF(U23&gt;0, $C$3 * (0.7 * U$23 + 0.3 * $X$23) * $C$27, $Y$20 * $X$23)</f>
        <v>8.3550080840770646E-2</v>
      </c>
      <c r="J72" s="4">
        <f xml:space="preserve"> IF(V23&gt;0, $C$3 * (0.7 * V$23 + 0.3 * $X$23) * $C$27, $Y$20 * $X$23)</f>
        <v>1.5895441665512912E-2</v>
      </c>
      <c r="L72" t="s">
        <v>40</v>
      </c>
      <c r="M72" t="s">
        <v>41</v>
      </c>
      <c r="N72" t="s">
        <v>42</v>
      </c>
    </row>
    <row r="73" spans="7:14" x14ac:dyDescent="0.3">
      <c r="H73" s="4">
        <f xml:space="preserve"> IF(T23&gt;0, $C$3 * (0.7 * T$23 + 0.3 * $X$23) * $C$29, $Y$20 * $X$23)</f>
        <v>0.25704802402724819</v>
      </c>
      <c r="I73" s="4">
        <f t="shared" ref="I73:J73" si="12" xml:space="preserve"> IF(U23&gt;0, $C$3 * (0.7 * U$23 + 0.3 * $X$23) * $C$29, $Y$20 * $X$23)</f>
        <v>0.14203513742931009</v>
      </c>
      <c r="J73" s="4">
        <f t="shared" si="12"/>
        <v>2.7022250831371948E-2</v>
      </c>
      <c r="L73" t="s">
        <v>60</v>
      </c>
      <c r="M73" t="s">
        <v>61</v>
      </c>
      <c r="N73" t="s">
        <v>62</v>
      </c>
    </row>
    <row r="75" spans="7:14" x14ac:dyDescent="0.3">
      <c r="G75" t="s">
        <v>75</v>
      </c>
      <c r="H75" s="4">
        <f xml:space="preserve"> IF(T$24&gt;0, $C$4 * (0.7 * T$24 + 0.3 * $X$24) * $C$28,  $Y$20 * $X$24)</f>
        <v>0.33126384510522278</v>
      </c>
      <c r="I75" s="4">
        <f t="shared" ref="I75:J75" si="13" xml:space="preserve"> IF(U$24&gt;0, $C$4 * (0.7 * U$24 + 0.3 * $X$24) * $C$28,  $Y$20 * $X$24)</f>
        <v>0.15085147397120222</v>
      </c>
      <c r="J75" s="4">
        <f t="shared" si="13"/>
        <v>3.7654958677685951E-2</v>
      </c>
    </row>
    <row r="76" spans="7:14" x14ac:dyDescent="0.3">
      <c r="H76" s="4">
        <f xml:space="preserve"> IF(T24&gt;0, $C$4 * (0.7 * T$24 + 0.3 * $X$24) * $C$26, $Y$20 * $X$24)</f>
        <v>0.19875830706313366</v>
      </c>
      <c r="I76" s="4">
        <f t="shared" ref="I76:J76" si="14" xml:space="preserve"> IF(U24&gt;0, $C$4 * (0.7 * U$24 + 0.3 * $X$24) * $C$26, $Y$20 * $X$24)</f>
        <v>9.0510884382721327E-2</v>
      </c>
      <c r="J76" s="4">
        <f t="shared" si="14"/>
        <v>3.7654958677685951E-2</v>
      </c>
    </row>
    <row r="77" spans="7:14" x14ac:dyDescent="0.3">
      <c r="H77" s="4">
        <f xml:space="preserve"> IF(T24&gt;0, $C$4 * (0.7 * T$24 + 0.3 * $X$24) * $C$25, $Y$20 * $X$24)</f>
        <v>0.24844788382891708</v>
      </c>
      <c r="I77" s="4">
        <f t="shared" ref="I77:J77" si="15" xml:space="preserve"> IF(U24&gt;0, $C$4 * (0.7 * U$24 + 0.3 * $X$24) * $C$25, $Y$20 * $X$24)</f>
        <v>0.11313860547840165</v>
      </c>
      <c r="J77" s="4">
        <f t="shared" si="15"/>
        <v>3.7654958677685951E-2</v>
      </c>
    </row>
    <row r="78" spans="7:14" x14ac:dyDescent="0.3">
      <c r="H78" s="4">
        <f xml:space="preserve"> IF(T24&gt;0, $C$2 * (0.7 * T$24 + 0.3 * $X$24) * $C$28, $Y$20 * $X$24)</f>
        <v>0.19875830706313366</v>
      </c>
      <c r="I78" s="4">
        <f t="shared" ref="I78:J78" si="16" xml:space="preserve"> IF(U24&gt;0, $C$2 * (0.7 * U$24 + 0.3 * $X$24) * $C$28, $Y$20 * $X$24)</f>
        <v>9.0510884382721327E-2</v>
      </c>
      <c r="J78" s="4">
        <f t="shared" si="16"/>
        <v>3.7654958677685951E-2</v>
      </c>
    </row>
    <row r="79" spans="7:14" x14ac:dyDescent="0.3">
      <c r="H79" s="4">
        <f xml:space="preserve"> IF(T24&gt;0, $C$2 * (0.7 * T$24 + 0.3 * $X$24) * $C$29, $Y$20 * $X$24)</f>
        <v>0.16894456100366362</v>
      </c>
      <c r="I79" s="4">
        <f t="shared" ref="I79:J79" si="17" xml:space="preserve"> IF(U24&gt;0, $C$2 * (0.7 * U$24 + 0.3 * $X$24) * $C$29, $Y$20 * $X$24)</f>
        <v>7.6934251725313124E-2</v>
      </c>
      <c r="J79" s="4">
        <f t="shared" si="17"/>
        <v>3.7654958677685951E-2</v>
      </c>
    </row>
    <row r="80" spans="7:14" x14ac:dyDescent="0.3">
      <c r="H80" s="4">
        <f xml:space="preserve"> IF(T24&gt;0, $C$3 * (0.7 * T$24 + 0.3 * $X$24) * $C$28,$Y$20 * $X$24)</f>
        <v>0.24844788382891708</v>
      </c>
      <c r="I80" s="4">
        <f t="shared" ref="I80:J80" si="18" xml:space="preserve"> IF(U24&gt;0, $C$3 * (0.7 * U$24 + 0.3 * $X$24) * $C$28,$Y$20 * $X$24)</f>
        <v>0.11313860547840165</v>
      </c>
      <c r="J80" s="4">
        <f t="shared" si="18"/>
        <v>3.7654958677685951E-2</v>
      </c>
    </row>
    <row r="81" spans="7:10" x14ac:dyDescent="0.3">
      <c r="H81" s="4">
        <f xml:space="preserve"> IF(T24&gt;0, $C$3 * (0.7 * T$24 + 0.3 * $X$24) * $C$27, $Y$20 * $X$24)</f>
        <v>0.12422394191445854</v>
      </c>
      <c r="I81" s="4">
        <f t="shared" ref="I81:J81" si="19" xml:space="preserve"> IF(U24&gt;0, $C$3 * (0.7 * U$24 + 0.3 * $X$24) * $C$27, $Y$20 * $X$24)</f>
        <v>5.6569302739200827E-2</v>
      </c>
      <c r="J81" s="4">
        <f t="shared" si="19"/>
        <v>3.7654958677685951E-2</v>
      </c>
    </row>
    <row r="82" spans="7:10" x14ac:dyDescent="0.3">
      <c r="H82" s="4">
        <f xml:space="preserve"> IF(T24&gt;0, $C$3 * (0.7 * T$24 + 0.3 * $X$24) * $C$29, $Y$20 * $X$24)</f>
        <v>0.21118070125457952</v>
      </c>
      <c r="I82" s="4">
        <f t="shared" ref="I82:J82" si="20" xml:space="preserve"> IF(U24&gt;0, $C$3 * (0.7 * U$24 + 0.3 * $X$24) * $C$29, $Y$20 * $X$24)</f>
        <v>9.6167814656641398E-2</v>
      </c>
      <c r="J82" s="4">
        <f t="shared" si="20"/>
        <v>3.7654958677685951E-2</v>
      </c>
    </row>
    <row r="84" spans="7:10" x14ac:dyDescent="0.3">
      <c r="G84" t="s">
        <v>76</v>
      </c>
      <c r="H84" s="4">
        <f xml:space="preserve"> IF(T$25&gt;0, $C$4 * (0.7 * T$25 + 0.3 * $X$25) * $C$28,  $Y$20 * $X$25)</f>
        <v>0.37748080322910449</v>
      </c>
      <c r="I84" s="4">
        <f t="shared" ref="I84:J84" si="21" xml:space="preserve"> IF(U$25&gt;0, $C$4 * (0.7 * U$25 + 0.3 * $X$25) * $C$28,  $Y$20 * $X$25)</f>
        <v>0.19706843209508393</v>
      </c>
      <c r="J84" s="4">
        <f t="shared" si="21"/>
        <v>6.1479855371900829E-2</v>
      </c>
    </row>
    <row r="85" spans="7:10" x14ac:dyDescent="0.3">
      <c r="H85" s="4">
        <f xml:space="preserve"> IF(T25&gt;0, $C$4 * (0.7 * T$25 + 0.3 * $X$25) * $C$26, $Y$20 * $X$25)</f>
        <v>0.22648848193746268</v>
      </c>
      <c r="I85" s="4">
        <f t="shared" ref="I85:J85" si="22" xml:space="preserve"> IF(U25&gt;0, $C$4 * (0.7 * U$25 + 0.3 * $X$25) * $C$26, $Y$20 * $X$25)</f>
        <v>0.11824105925705035</v>
      </c>
      <c r="J85" s="4">
        <f t="shared" si="22"/>
        <v>6.1479855371900829E-2</v>
      </c>
    </row>
    <row r="86" spans="7:10" x14ac:dyDescent="0.3">
      <c r="H86" s="4">
        <f xml:space="preserve"> IF(T25&gt;0, $C$4 * (0.7 * T$25 + 0.3 * $X$25) * $C$25, $Y$20 * $X$25)</f>
        <v>0.28311060242182839</v>
      </c>
      <c r="I86" s="4">
        <f t="shared" ref="I86:J86" si="23" xml:space="preserve"> IF(U25&gt;0, $C$4 * (0.7 * U$25 + 0.3 * $X$25) * $C$25, $Y$20 * $X$25)</f>
        <v>0.14780132407131294</v>
      </c>
      <c r="J86" s="4">
        <f t="shared" si="23"/>
        <v>6.1479855371900829E-2</v>
      </c>
    </row>
    <row r="87" spans="7:10" x14ac:dyDescent="0.3">
      <c r="H87" s="4">
        <f xml:space="preserve"> IF(T25&gt;0, $C$2 * (0.7 * T$25 + 0.3 * $X$25) * $C$28, $Y$20 * $X$25)</f>
        <v>0.22648848193746268</v>
      </c>
      <c r="I87" s="4">
        <f t="shared" ref="I87:J87" si="24" xml:space="preserve"> IF(U25&gt;0, $C$2 * (0.7 * U$25 + 0.3 * $X$25) * $C$28, $Y$20 * $X$25)</f>
        <v>0.11824105925705035</v>
      </c>
      <c r="J87" s="4">
        <f t="shared" si="24"/>
        <v>6.1479855371900829E-2</v>
      </c>
    </row>
    <row r="88" spans="7:10" x14ac:dyDescent="0.3">
      <c r="H88" s="4">
        <f xml:space="preserve"> IF(T25&gt;0, $C$2 * (0.7 * T$25 + 0.3 * $X$25) * $C$29, $Y$20 * $X$25)</f>
        <v>0.19251520964684327</v>
      </c>
      <c r="I88" s="4">
        <f xml:space="preserve"> IF(U25&gt;0, $C$2 * (0.7 * U$25 + 0.3 * $X$25) * $C$29, $Y$20 * $X$25)</f>
        <v>0.1005049003684928</v>
      </c>
      <c r="J88" s="4">
        <f xml:space="preserve"> IF(V25&gt;0, $C$2 * (0.7 * V$25 + 0.3 * $X$25) * $C$29, $Y$20 * $X$25)</f>
        <v>6.1479855371900829E-2</v>
      </c>
    </row>
    <row r="89" spans="7:10" x14ac:dyDescent="0.3">
      <c r="H89" s="4">
        <f xml:space="preserve"> IF(T25&gt;0, $C$3 * (0.7 * T$25 + 0.3 * $X$25) * $C$28,$Y$20 * $X$25)</f>
        <v>0.28311060242182839</v>
      </c>
      <c r="I89" s="4">
        <f t="shared" ref="I89:J89" si="25" xml:space="preserve"> IF(U25&gt;0, $C$3 * (0.7 * U$25 + 0.3 * $X$25) * $C$28,$Y$20 * $X$25)</f>
        <v>0.14780132407131294</v>
      </c>
      <c r="J89" s="4">
        <f t="shared" si="25"/>
        <v>6.1479855371900829E-2</v>
      </c>
    </row>
    <row r="90" spans="7:10" x14ac:dyDescent="0.3">
      <c r="H90" s="4">
        <f xml:space="preserve"> IF(T25&gt;0, $C$3 * (0.7 * T$25 + 0.3 * $X$25) * $C$27, $Y$20 * $X$25)</f>
        <v>0.1415553012109142</v>
      </c>
      <c r="I90" s="4">
        <f t="shared" ref="I90:J90" si="26" xml:space="preserve"> IF(U25&gt;0, $C$3 * (0.7 * U$25 + 0.3 * $X$25) * $C$27, $Y$20 * $X$25)</f>
        <v>7.390066203565647E-2</v>
      </c>
      <c r="J90" s="4">
        <f t="shared" si="26"/>
        <v>6.1479855371900829E-2</v>
      </c>
    </row>
    <row r="91" spans="7:10" x14ac:dyDescent="0.3">
      <c r="H91" s="4">
        <f xml:space="preserve"> IF(T25&gt;0, $C$3 * (0.7 * T$25 + 0.3 * $X$25) * $C$29, $Y$20 * $X$25)</f>
        <v>0.24064401205855412</v>
      </c>
      <c r="I91" s="4">
        <f t="shared" ref="I91:J91" si="27" xml:space="preserve"> IF(U25&gt;0, $C$3 * (0.7 * U$25 + 0.3 * $X$25) * $C$29, $Y$20 * $X$25)</f>
        <v>0.125631125460616</v>
      </c>
      <c r="J91" s="4">
        <f t="shared" si="27"/>
        <v>6.1479855371900829E-2</v>
      </c>
    </row>
    <row r="93" spans="7:10" x14ac:dyDescent="0.3">
      <c r="G93" t="s">
        <v>71</v>
      </c>
      <c r="H93" s="4">
        <f xml:space="preserve"> IF(T$26&gt;0, $C$4 * (0.7 * T$26 + 0.3 * $X$26) * $C$28,  $Y$20 * $X$26)</f>
        <v>0.5320060226207719</v>
      </c>
      <c r="I93" s="4">
        <f t="shared" ref="I93:J93" si="28" xml:space="preserve"> IF(U$26&gt;0, $C$4 * (0.7 * U$26 + 0.3 * $X$26) * $C$28,  $Y$20 * $X$26)</f>
        <v>0.35159365148675131</v>
      </c>
      <c r="J93" s="4">
        <f t="shared" si="28"/>
        <v>8.4723657024793397E-2</v>
      </c>
    </row>
    <row r="94" spans="7:10" x14ac:dyDescent="0.3">
      <c r="H94" s="4">
        <f xml:space="preserve"> IF(T26&gt;0, $C$4 * (0.7 * T$26 + 0.3 * $X$26) * $C$26, $Y$20 * $X$26)</f>
        <v>0.31920361357246313</v>
      </c>
      <c r="I94" s="4">
        <f t="shared" ref="I94:J94" si="29" xml:space="preserve"> IF(U26&gt;0, $C$4 * (0.7 * U$26 + 0.3 * $X$26) * $C$26, $Y$20 * $X$26)</f>
        <v>0.21095619089205078</v>
      </c>
      <c r="J94" s="4">
        <f t="shared" si="29"/>
        <v>8.4723657024793397E-2</v>
      </c>
    </row>
    <row r="95" spans="7:10" x14ac:dyDescent="0.3">
      <c r="H95" s="4">
        <f xml:space="preserve"> IF(T26&gt;0, $C$4 * (0.7 * T$26 + 0.3 * $X$26) * $C$25, $Y$20 * $X$26)</f>
        <v>0.39900451696557893</v>
      </c>
      <c r="I95" s="4">
        <f t="shared" ref="I95:J95" si="30" xml:space="preserve"> IF(U26&gt;0, $C$4 * (0.7 * U$26 + 0.3 * $X$26) * $C$25, $Y$20 * $X$26)</f>
        <v>0.2636952386150635</v>
      </c>
      <c r="J95" s="4">
        <f t="shared" si="30"/>
        <v>8.4723657024793397E-2</v>
      </c>
    </row>
    <row r="96" spans="7:10" x14ac:dyDescent="0.3">
      <c r="H96" s="4">
        <f xml:space="preserve"> IF(T26&gt;0, $C$2 * (0.7 * T$26 + 0.3 * $X$26) * $C$28, $Y$20 * $X$26)</f>
        <v>0.31920361357246313</v>
      </c>
      <c r="I96" s="4">
        <f t="shared" ref="I96:J96" si="31" xml:space="preserve"> IF(U26&gt;0, $C$2 * (0.7 * U$26 + 0.3 * $X$26) * $C$28, $Y$20 * $X$26)</f>
        <v>0.21095619089205078</v>
      </c>
      <c r="J96" s="4">
        <f t="shared" si="31"/>
        <v>8.4723657024793397E-2</v>
      </c>
    </row>
    <row r="97" spans="7:10" x14ac:dyDescent="0.3">
      <c r="H97" s="4">
        <f xml:space="preserve"> IF(T26&gt;0, $C$2 * (0.7 * T$26 + 0.3 * $X$26) * $C$29, $Y$20 * $X$26)</f>
        <v>0.27132307153659363</v>
      </c>
      <c r="I97" s="4">
        <f t="shared" ref="I97:J97" si="32" xml:space="preserve"> IF(U26&gt;0, $C$2 * (0.7 * U$26 + 0.3 * $X$26) * $C$29, $Y$20 * $X$26)</f>
        <v>0.17931276225824316</v>
      </c>
      <c r="J97" s="4">
        <f t="shared" si="32"/>
        <v>8.4723657024793397E-2</v>
      </c>
    </row>
    <row r="98" spans="7:10" x14ac:dyDescent="0.3">
      <c r="H98" s="4">
        <f xml:space="preserve"> IF(T26&gt;0, $C$3 * (0.7 * T$26 + 0.3 * $X$26) * $C$28,$Y$20 * $X$26)</f>
        <v>0.39900451696557893</v>
      </c>
      <c r="I98" s="4">
        <f t="shared" ref="I98:J98" si="33" xml:space="preserve"> IF(U26&gt;0, $C$3 * (0.7 * U$26 + 0.3 * $X$26) * $C$28,$Y$20 * $X$26)</f>
        <v>0.2636952386150635</v>
      </c>
      <c r="J98" s="4">
        <f t="shared" si="33"/>
        <v>8.4723657024793397E-2</v>
      </c>
    </row>
    <row r="99" spans="7:10" x14ac:dyDescent="0.3">
      <c r="H99" s="4">
        <f xml:space="preserve"> IF(T26&gt;0, $C$3 * (0.7 * T$26 + 0.3 * $X$26) * $C$27, $Y$20 * $X$26)</f>
        <v>0.19950225848278946</v>
      </c>
      <c r="I99" s="4">
        <f xml:space="preserve"> IF(U26&gt;0, $C$3 * (0.7 * U$26 + 0.3 * $X$26) * $C$27, $Y$20 * $X$26)</f>
        <v>0.13184761930753175</v>
      </c>
      <c r="J99" s="4">
        <f xml:space="preserve"> IF(V26&gt;0, $C$3 * (0.7 * V$26 + 0.3 * $X$26) * $C$27, $Y$20 * $X$26)</f>
        <v>8.4723657024793397E-2</v>
      </c>
    </row>
    <row r="100" spans="7:10" x14ac:dyDescent="0.3">
      <c r="H100" s="4">
        <f xml:space="preserve"> IF(T26&gt;0, $C$3 * (0.7 * T$26 + 0.3 * $X$26) * $C$29, $Y$20 * $X$26)</f>
        <v>0.33915383942074206</v>
      </c>
      <c r="I100" s="4">
        <f t="shared" ref="I100:J100" si="34" xml:space="preserve"> IF(U26&gt;0, $C$3 * (0.7 * U$26 + 0.3 * $X$26) * $C$29, $Y$20 * $X$26)</f>
        <v>0.22414095282280397</v>
      </c>
      <c r="J100" s="4">
        <f t="shared" si="34"/>
        <v>8.4723657024793397E-2</v>
      </c>
    </row>
    <row r="102" spans="7:10" x14ac:dyDescent="0.3">
      <c r="G102" t="s">
        <v>72</v>
      </c>
      <c r="H102" s="4">
        <f xml:space="preserve"> IF(T$27&gt;0, $C$4 * (0.7 * T$27 + 0.3 * $X$27) * $C$28,  $Y$20 * $X$27)</f>
        <v>0.67597838743574445</v>
      </c>
      <c r="I102" s="4">
        <f t="shared" ref="I102:J102" si="35" xml:space="preserve"> IF(U$27&gt;0, $C$4 * (0.7 * U$27 + 0.3 * $X$27) * $C$28,  $Y$20 * $X$27)</f>
        <v>0.49556601630172392</v>
      </c>
      <c r="J102" s="4">
        <f t="shared" si="35"/>
        <v>0.31515364516770328</v>
      </c>
    </row>
    <row r="103" spans="7:10" x14ac:dyDescent="0.3">
      <c r="H103" s="4">
        <f xml:space="preserve"> IF(T27&gt;0, $C$4 * (0.7 * T$27 + 0.3 * $X$27) * $C$26, $Y$20 * $X$27)</f>
        <v>0.40558703246144667</v>
      </c>
      <c r="I103" s="4">
        <f t="shared" ref="I103:J103" si="36" xml:space="preserve"> IF(U27&gt;0, $C$4 * (0.7 * U$27 + 0.3 * $X$27) * $C$26, $Y$20 * $X$27)</f>
        <v>0.29733960978103435</v>
      </c>
      <c r="J103" s="4">
        <f t="shared" si="36"/>
        <v>0.18909218710062195</v>
      </c>
    </row>
    <row r="104" spans="7:10" x14ac:dyDescent="0.3">
      <c r="H104" s="4">
        <f xml:space="preserve"> IF(T27&gt;0, $C$4 * (0.7 * T$27 + 0.3 * $X$27) * $C$25, $Y$20 * $X$27)</f>
        <v>0.50698379057680831</v>
      </c>
      <c r="I104" s="4">
        <f t="shared" ref="I104:J104" si="37" xml:space="preserve"> IF(U27&gt;0, $C$4 * (0.7 * U$27 + 0.3 * $X$27) * $C$25, $Y$20 * $X$27)</f>
        <v>0.37167451222629294</v>
      </c>
      <c r="J104" s="4">
        <f t="shared" si="37"/>
        <v>0.23636523387577746</v>
      </c>
    </row>
    <row r="105" spans="7:10" x14ac:dyDescent="0.3">
      <c r="H105" s="4">
        <f xml:space="preserve"> IF(T27&gt;0, $C$2 * (0.7 * T$27 + 0.3 * $X$27) * $C$28, $Y$20 * $X$27)</f>
        <v>0.40558703246144667</v>
      </c>
      <c r="I105" s="4">
        <f t="shared" ref="I105:J105" si="38" xml:space="preserve"> IF(U27&gt;0, $C$2 * (0.7 * U$27 + 0.3 * $X$27) * $C$28, $Y$20 * $X$27)</f>
        <v>0.29733960978103435</v>
      </c>
      <c r="J105" s="4">
        <f t="shared" si="38"/>
        <v>0.18909218710062195</v>
      </c>
    </row>
    <row r="106" spans="7:10" x14ac:dyDescent="0.3">
      <c r="H106" s="4">
        <f xml:space="preserve"> IF(T27&gt;0, $C$2 * (0.7 * T$27 + 0.3 * $X$27) * $C$29, $Y$20 * $X$27)</f>
        <v>0.34474897759222967</v>
      </c>
      <c r="I106" s="4">
        <f t="shared" ref="I106:J106" si="39" xml:space="preserve"> IF(U27&gt;0, $C$2 * (0.7 * U$27 + 0.3 * $X$27) * $C$29, $Y$20 * $X$27)</f>
        <v>0.2527386683138792</v>
      </c>
      <c r="J106" s="4">
        <f t="shared" si="39"/>
        <v>0.16072835903552865</v>
      </c>
    </row>
    <row r="107" spans="7:10" x14ac:dyDescent="0.3">
      <c r="H107" s="4">
        <f xml:space="preserve"> IF(T27&gt;0, $C$3 * (0.7 * T$27 + 0.3 * $X$27) * $C$28,$Y$20 * $X$27)</f>
        <v>0.50698379057680831</v>
      </c>
      <c r="I107" s="4">
        <f t="shared" ref="I107:J107" si="40" xml:space="preserve"> IF(U27&gt;0, $C$3 * (0.7 * U$27 + 0.3 * $X$27) * $C$28,$Y$20 * $X$27)</f>
        <v>0.37167451222629294</v>
      </c>
      <c r="J107" s="4">
        <f t="shared" si="40"/>
        <v>0.23636523387577746</v>
      </c>
    </row>
    <row r="108" spans="7:10" x14ac:dyDescent="0.3">
      <c r="H108" s="4">
        <f xml:space="preserve"> IF(T27&gt;0, $C$3 * (0.7 * T$27 + 0.3 * $X$27) * $C$27, $Y$20 * $X$27)</f>
        <v>0.25349189528840416</v>
      </c>
      <c r="I108" s="4">
        <f t="shared" ref="I108:J108" si="41" xml:space="preserve"> IF(U27&gt;0, $C$3 * (0.7 * U$27 + 0.3 * $X$27) * $C$27, $Y$20 * $X$27)</f>
        <v>0.18583725611314647</v>
      </c>
      <c r="J108" s="4">
        <f t="shared" si="41"/>
        <v>0.11818261693788873</v>
      </c>
    </row>
    <row r="109" spans="7:10" x14ac:dyDescent="0.3">
      <c r="H109" s="4">
        <f xml:space="preserve"> IF(T27&gt;0, $C$3 * (0.7 * T$27 + 0.3 * $X$27) * $C$29, $Y$20 * $X$27)</f>
        <v>0.43093622199028703</v>
      </c>
      <c r="I109" s="4">
        <f t="shared" ref="I109:J109" si="42" xml:space="preserve"> IF(U27&gt;0, $C$3 * (0.7 * U$27 + 0.3 * $X$27) * $C$29, $Y$20 * $X$27)</f>
        <v>0.31592333539234901</v>
      </c>
      <c r="J109" s="4">
        <f t="shared" si="42"/>
        <v>0.20091044879441083</v>
      </c>
    </row>
    <row r="111" spans="7:10" x14ac:dyDescent="0.3">
      <c r="G111" t="s">
        <v>73</v>
      </c>
      <c r="H111" s="4">
        <f xml:space="preserve"> IF(T$28&gt;0, $C$4 * (0.7 * T$28 + 0.3 * $X$28) * $C$28,  $Y$20 * $X$28)</f>
        <v>0.59433526632302403</v>
      </c>
      <c r="I111" s="4">
        <f xml:space="preserve"> IF(U$28&gt;0, $C$4 * (0.7 * U$28 + 0.3 * $X$28) * $C$28,  $Y$20 * $X$28)</f>
        <v>0.41392289518900338</v>
      </c>
      <c r="J111" s="4">
        <f t="shared" ref="J111" si="43" xml:space="preserve"> IF(V$28&gt;0, $C$4 * (0.7 * V$28 + 0.3 * $X$28) * $C$28,  $Y$20 * $X$28)</f>
        <v>0.23351052405498279</v>
      </c>
    </row>
    <row r="112" spans="7:10" x14ac:dyDescent="0.3">
      <c r="H112" s="4">
        <f xml:space="preserve"> IF(T28&gt;0, $C$4 * (0.7 * T$28 + 0.3 * $X$258) * $C$26, $Y$20 * $X$28)</f>
        <v>0.26628865979381439</v>
      </c>
      <c r="I112" s="4">
        <f t="shared" ref="I112" si="44" xml:space="preserve"> IF(U28&gt;0, $C$4 * (0.7 * U$28 + 0.3 * $X$258) * $C$26, $Y$20 * $X$28)</f>
        <v>0.15804123711340204</v>
      </c>
      <c r="J112" s="4">
        <f xml:space="preserve"> IF(V28&gt;0, $C$4 * (0.7 * V$28 + 0.3 * $X$28) * $C$26, $Y$20 * $X$28)</f>
        <v>0.14010631443298968</v>
      </c>
    </row>
    <row r="113" spans="7:10" x14ac:dyDescent="0.3">
      <c r="H113" s="4">
        <f xml:space="preserve"> IF(T28&gt;0, $C$4 * (0.7 * T$28 + 0.3 * $X$28) * $C$25, $Y$20 * $X$28)</f>
        <v>0.44575144974226799</v>
      </c>
      <c r="I113" s="4">
        <f t="shared" ref="I113:J113" si="45" xml:space="preserve"> IF(U28&gt;0, $C$4 * (0.7 * U$28 + 0.3 * $X$28) * $C$25, $Y$20 * $X$28)</f>
        <v>0.31044217139175256</v>
      </c>
      <c r="J113" s="4">
        <f t="shared" si="45"/>
        <v>0.17513289304123708</v>
      </c>
    </row>
    <row r="114" spans="7:10" x14ac:dyDescent="0.3">
      <c r="H114" s="4">
        <f xml:space="preserve"> IF(T28&gt;0, $C$2 * (0.7 * T$28 + 0.3 * $X$28) * $C$28, $Y$20 * $X$28)</f>
        <v>0.3566011597938144</v>
      </c>
      <c r="I114" s="4">
        <f t="shared" ref="I114:J114" si="46" xml:space="preserve"> IF(U28&gt;0, $C$2 * (0.7 * U$28 + 0.3 * $X$28) * $C$28, $Y$20 * $X$28)</f>
        <v>0.24835373711340203</v>
      </c>
      <c r="J114" s="4">
        <f t="shared" si="46"/>
        <v>0.14010631443298968</v>
      </c>
    </row>
    <row r="115" spans="7:10" x14ac:dyDescent="0.3">
      <c r="H115" s="4">
        <f xml:space="preserve"> IF(T28&gt;0, $C$2 * (0.7 * T$28 + 0.3 * $X$28) * $C$29, $Y$20 * $X$28)</f>
        <v>0.30311098582474222</v>
      </c>
      <c r="I115" s="4">
        <f t="shared" ref="I115:J115" si="47" xml:space="preserve"> IF(U28&gt;0, $C$2 * (0.7 * U$28 + 0.3 * $X$28) * $C$29, $Y$20 * $X$28)</f>
        <v>0.21110067654639172</v>
      </c>
      <c r="J115" s="4">
        <f t="shared" si="47"/>
        <v>0.11909036726804123</v>
      </c>
    </row>
    <row r="116" spans="7:10" x14ac:dyDescent="0.3">
      <c r="H116" s="4">
        <f xml:space="preserve"> IF(T28&gt;0, $C$3 * (0.7 * T$28 + 0.3 * $X$28) * $C$28,$Y$20 * $X$28)</f>
        <v>0.44575144974226799</v>
      </c>
      <c r="I116" s="4">
        <f t="shared" ref="I116:J116" si="48" xml:space="preserve"> IF(U28&gt;0, $C$3 * (0.7 * U$28 + 0.3 * $X$28) * $C$28,$Y$20 * $X$28)</f>
        <v>0.31044217139175256</v>
      </c>
      <c r="J116" s="4">
        <f t="shared" si="48"/>
        <v>0.17513289304123708</v>
      </c>
    </row>
    <row r="117" spans="7:10" x14ac:dyDescent="0.3">
      <c r="H117" s="4">
        <f xml:space="preserve"> IF(T28&gt;0, $C$3 * (0.7 * T$28 + 0.3 * $X$28) * $C$27, $Y$20 * $X$28)</f>
        <v>0.222875724871134</v>
      </c>
      <c r="I117" s="4">
        <f t="shared" ref="I117:J117" si="49" xml:space="preserve"> IF(U28&gt;0, $C$3 * (0.7 * U$28 + 0.3 * $X$28) * $C$27, $Y$20 * $X$28)</f>
        <v>0.15522108569587628</v>
      </c>
      <c r="J117" s="4">
        <f t="shared" si="49"/>
        <v>8.7566446520618541E-2</v>
      </c>
    </row>
    <row r="118" spans="7:10" x14ac:dyDescent="0.3">
      <c r="H118" s="4">
        <f xml:space="preserve"> IF(T28&gt;0, $C$3 * (0.7 * T$28 + 0.3 * $X$28) * $C$29, $Y$20 * $X$28)</f>
        <v>0.37888873228092779</v>
      </c>
      <c r="I118" s="4">
        <f t="shared" ref="I118:J118" si="50" xml:space="preserve"> IF(U28&gt;0, $C$3 * (0.7 * U$28 + 0.3 * $X$28) * $C$29, $Y$20 * $X$28)</f>
        <v>0.26387584568298966</v>
      </c>
      <c r="J118" s="4">
        <f t="shared" si="50"/>
        <v>0.14886295908505151</v>
      </c>
    </row>
    <row r="120" spans="7:10" x14ac:dyDescent="0.3">
      <c r="G120" t="s">
        <v>74</v>
      </c>
      <c r="H120" s="4">
        <f xml:space="preserve"> IF(T$29&gt;0, $C$4 * (0.7 * T$29 + 0.3 * $X$29) * $C$28,  $Y$20 * $X$29)</f>
        <v>0.84484536082474215</v>
      </c>
      <c r="I120" s="4">
        <f t="shared" ref="I120:J120" si="51" xml:space="preserve"> IF(U$29&gt;0, $C$4 * (0.7 * U$29 + 0.3 * $X$29) * $C$28,  $Y$20 * $X$29)</f>
        <v>0.66443298969072151</v>
      </c>
      <c r="J120" s="4">
        <f t="shared" si="51"/>
        <v>0.48402061855670098</v>
      </c>
    </row>
    <row r="121" spans="7:10" x14ac:dyDescent="0.3">
      <c r="H121" s="4">
        <f xml:space="preserve"> IF(T29&gt;0, $C$4 * (0.7 * T$29 + 0.3 * $X$29) * $C$26, $Y$20 * $X$29)</f>
        <v>0.50690721649484527</v>
      </c>
      <c r="I121" s="4">
        <f t="shared" ref="I121:J121" si="52" xml:space="preserve"> IF(U29&gt;0, $C$4 * (0.7 * U$29 + 0.3 * $X$29) * $C$26, $Y$20 * $X$29)</f>
        <v>0.39865979381443289</v>
      </c>
      <c r="J121" s="4">
        <f t="shared" si="52"/>
        <v>0.29041237113402057</v>
      </c>
    </row>
    <row r="122" spans="7:10" x14ac:dyDescent="0.3">
      <c r="H122" s="4">
        <f xml:space="preserve"> IF(T29&gt;0, $C$4 * (0.7 * T$29 + 0.3 * $X$29) * $C$25, $Y$20 * $X$29)</f>
        <v>0.63363402061855667</v>
      </c>
      <c r="I122" s="4">
        <f t="shared" ref="I122:J122" si="53" xml:space="preserve"> IF(U29&gt;0, $C$4 * (0.7 * U$29 + 0.3 * $X$29) * $C$25, $Y$20 * $X$29)</f>
        <v>0.49832474226804113</v>
      </c>
      <c r="J122" s="4">
        <f t="shared" si="53"/>
        <v>0.3630154639175257</v>
      </c>
    </row>
    <row r="123" spans="7:10" x14ac:dyDescent="0.3">
      <c r="H123" s="4">
        <f xml:space="preserve"> IF(T29&gt;0, $C$2 * (0.7 * T$29 + 0.3 * $X$29) * $C$28, $Y$20 * $X$29)</f>
        <v>0.50690721649484527</v>
      </c>
      <c r="I123" s="4">
        <f t="shared" ref="I123:J123" si="54" xml:space="preserve"> IF(U29&gt;0, $C$2 * (0.7 * U$29 + 0.3 * $X$29) * $C$28, $Y$20 * $X$29)</f>
        <v>0.39865979381443289</v>
      </c>
      <c r="J123" s="4">
        <f t="shared" si="54"/>
        <v>0.29041237113402057</v>
      </c>
    </row>
    <row r="124" spans="7:10" x14ac:dyDescent="0.3">
      <c r="H124" s="4">
        <f xml:space="preserve"> IF(T29&gt;0, $C$2 * (0.7 * T$29 + 0.3 * $X$29) * $C$29, $Y$20 * $X$29)</f>
        <v>0.43087113402061844</v>
      </c>
      <c r="I124" s="4">
        <f t="shared" ref="I124:J124" si="55" xml:space="preserve"> IF(U29&gt;0, $C$2 * (0.7 * U$29 + 0.3 * $X$29) * $C$29, $Y$20 * $X$29)</f>
        <v>0.33886082474226797</v>
      </c>
      <c r="J124" s="4">
        <f t="shared" si="55"/>
        <v>0.24685051546391748</v>
      </c>
    </row>
    <row r="125" spans="7:10" x14ac:dyDescent="0.3">
      <c r="H125" s="4">
        <f xml:space="preserve"> IF(T29&gt;0, $C$3 * (0.7 * T$29 + 0.3 * $X$29) * $C$28,$Y$20 * $X$29)</f>
        <v>0.63363402061855667</v>
      </c>
      <c r="I125" s="4">
        <f t="shared" ref="I125:J125" si="56" xml:space="preserve"> IF(U29&gt;0, $C$3 * (0.7 * U$29 + 0.3 * $X$29) * $C$28,$Y$20 * $X$29)</f>
        <v>0.49832474226804113</v>
      </c>
      <c r="J125" s="4">
        <f t="shared" si="56"/>
        <v>0.3630154639175257</v>
      </c>
    </row>
    <row r="126" spans="7:10" x14ac:dyDescent="0.3">
      <c r="H126" s="4">
        <f xml:space="preserve"> IF(T29&gt;0, $C$3 * (0.7 * T$29 + 0.3 * $X$29) * $C$27, $Y$20 * $X$29)</f>
        <v>0.31681701030927834</v>
      </c>
      <c r="I126" s="4">
        <f t="shared" ref="I126:J126" si="57" xml:space="preserve"> IF(U29&gt;0, $C$3 * (0.7 * U$29 + 0.3 * $X$29) * $C$27, $Y$20 * $X$29)</f>
        <v>0.24916237113402057</v>
      </c>
      <c r="J126" s="4">
        <f t="shared" si="57"/>
        <v>0.18150773195876285</v>
      </c>
    </row>
    <row r="127" spans="7:10" x14ac:dyDescent="0.3">
      <c r="H127" s="4">
        <f xml:space="preserve"> IF(T29&gt;0, $C$3 * (0.7 * T$29 + 0.3 * $X$29) * $C$29, $Y$20 * $X$29)</f>
        <v>0.5385889175257732</v>
      </c>
      <c r="I127" s="4">
        <f t="shared" ref="I127:J127" si="58" xml:space="preserve"> IF(U29&gt;0, $C$3 * (0.7 * U$29 + 0.3 * $X$29) * $C$29, $Y$20 * $X$29)</f>
        <v>0.42357603092783497</v>
      </c>
      <c r="J127" s="4">
        <f t="shared" si="58"/>
        <v>0.30856314432989684</v>
      </c>
    </row>
  </sheetData>
  <mergeCells count="7">
    <mergeCell ref="F1:G1"/>
    <mergeCell ref="F33:G33"/>
    <mergeCell ref="T19:V19"/>
    <mergeCell ref="A1:C1"/>
    <mergeCell ref="A6:C6"/>
    <mergeCell ref="A19:C19"/>
    <mergeCell ref="A24:C24"/>
  </mergeCells>
  <conditionalFormatting sqref="H39:J46 H48:J55 H57:J60 H62:J63 H66:J69 H71:J72">
    <cfRule type="colorScale" priority="18">
      <colorScale>
        <cfvo type="num" val="0"/>
        <cfvo type="num" val="1"/>
        <color theme="0"/>
        <color rgb="FFFF0000"/>
      </colorScale>
    </cfRule>
  </conditionalFormatting>
  <conditionalFormatting sqref="H61:J64">
    <cfRule type="colorScale" priority="14">
      <colorScale>
        <cfvo type="num" val="0"/>
        <cfvo type="num" val="1"/>
        <color theme="0"/>
        <color rgb="FFFF0000"/>
      </colorScale>
    </cfRule>
  </conditionalFormatting>
  <conditionalFormatting sqref="H70:J73">
    <cfRule type="colorScale" priority="13">
      <colorScale>
        <cfvo type="num" val="0"/>
        <cfvo type="num" val="1"/>
        <color theme="0"/>
        <color rgb="FFFF0000"/>
      </colorScale>
    </cfRule>
  </conditionalFormatting>
  <conditionalFormatting sqref="H75:J78 H80:J81">
    <cfRule type="colorScale" priority="12">
      <colorScale>
        <cfvo type="num" val="0"/>
        <cfvo type="num" val="1"/>
        <color theme="0"/>
        <color rgb="FFFF0000"/>
      </colorScale>
    </cfRule>
  </conditionalFormatting>
  <conditionalFormatting sqref="H79:J82">
    <cfRule type="colorScale" priority="11">
      <colorScale>
        <cfvo type="num" val="0"/>
        <cfvo type="num" val="1"/>
        <color theme="0"/>
        <color rgb="FFFF0000"/>
      </colorScale>
    </cfRule>
  </conditionalFormatting>
  <conditionalFormatting sqref="H84:J87 H89:J90">
    <cfRule type="colorScale" priority="10">
      <colorScale>
        <cfvo type="num" val="0"/>
        <cfvo type="num" val="1"/>
        <color theme="0"/>
        <color rgb="FFFF0000"/>
      </colorScale>
    </cfRule>
  </conditionalFormatting>
  <conditionalFormatting sqref="H88:J91">
    <cfRule type="colorScale" priority="9">
      <colorScale>
        <cfvo type="num" val="0"/>
        <cfvo type="num" val="1"/>
        <color theme="0"/>
        <color rgb="FFFF0000"/>
      </colorScale>
    </cfRule>
  </conditionalFormatting>
  <conditionalFormatting sqref="H93:J96 H98:J99">
    <cfRule type="colorScale" priority="8">
      <colorScale>
        <cfvo type="num" val="0"/>
        <cfvo type="num" val="1"/>
        <color theme="0"/>
        <color rgb="FFFF0000"/>
      </colorScale>
    </cfRule>
  </conditionalFormatting>
  <conditionalFormatting sqref="H97:J100">
    <cfRule type="colorScale" priority="7">
      <colorScale>
        <cfvo type="num" val="0"/>
        <cfvo type="num" val="1"/>
        <color theme="0"/>
        <color rgb="FFFF0000"/>
      </colorScale>
    </cfRule>
  </conditionalFormatting>
  <conditionalFormatting sqref="H102:J105 H107:J108">
    <cfRule type="colorScale" priority="6">
      <colorScale>
        <cfvo type="num" val="0"/>
        <cfvo type="num" val="1"/>
        <color theme="0"/>
        <color rgb="FFFF0000"/>
      </colorScale>
    </cfRule>
  </conditionalFormatting>
  <conditionalFormatting sqref="H106:J109">
    <cfRule type="colorScale" priority="5">
      <colorScale>
        <cfvo type="num" val="0"/>
        <cfvo type="num" val="1"/>
        <color theme="0"/>
        <color rgb="FFFF0000"/>
      </colorScale>
    </cfRule>
  </conditionalFormatting>
  <conditionalFormatting sqref="H115:J118">
    <cfRule type="colorScale" priority="3">
      <colorScale>
        <cfvo type="num" val="0"/>
        <cfvo type="num" val="1"/>
        <color theme="0"/>
        <color rgb="FFFF0000"/>
      </colorScale>
    </cfRule>
  </conditionalFormatting>
  <conditionalFormatting sqref="H116:J117 H111:J114">
    <cfRule type="colorScale" priority="4">
      <colorScale>
        <cfvo type="num" val="0"/>
        <cfvo type="num" val="1"/>
        <color theme="0"/>
        <color rgb="FFFF0000"/>
      </colorScale>
    </cfRule>
  </conditionalFormatting>
  <conditionalFormatting sqref="H124:J127">
    <cfRule type="colorScale" priority="1">
      <colorScale>
        <cfvo type="num" val="0"/>
        <cfvo type="num" val="1"/>
        <color theme="0"/>
        <color rgb="FFFF0000"/>
      </colorScale>
    </cfRule>
  </conditionalFormatting>
  <conditionalFormatting sqref="H125:J126 H120:J123">
    <cfRule type="colorScale" priority="2">
      <colorScale>
        <cfvo type="num" val="0"/>
        <cfvo type="num" val="1"/>
        <color theme="0"/>
        <color rgb="FFFF0000"/>
      </colorScale>
    </cfRule>
  </conditionalFormatting>
  <conditionalFormatting sqref="J4:J15">
    <cfRule type="colorScale" priority="20">
      <colorScale>
        <cfvo type="num" val="0"/>
        <cfvo type="num" val="1"/>
        <color theme="0"/>
        <color rgb="FFFF0000"/>
      </colorScale>
    </cfRule>
  </conditionalFormatting>
  <conditionalFormatting sqref="J20:J29">
    <cfRule type="colorScale" priority="19">
      <colorScale>
        <cfvo type="num" val="0"/>
        <cfvo type="num" val="1"/>
        <color theme="0"/>
        <color rgb="FFFF000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38611-EC94-4E7B-9FAD-805A6F5DFBC1}">
  <dimension ref="A2:K34"/>
  <sheetViews>
    <sheetView topLeftCell="A3" zoomScale="160" zoomScaleNormal="160" workbookViewId="0">
      <selection activeCell="L15" sqref="L15"/>
    </sheetView>
  </sheetViews>
  <sheetFormatPr defaultRowHeight="14.4" x14ac:dyDescent="0.3"/>
  <cols>
    <col min="5" max="5" width="1.77734375" customWidth="1"/>
    <col min="8" max="8" width="1.77734375" customWidth="1"/>
    <col min="11" max="11" width="3.109375" customWidth="1"/>
  </cols>
  <sheetData>
    <row r="2" spans="1:11" ht="15" thickBot="1" x14ac:dyDescent="0.35"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5" thickTop="1" x14ac:dyDescent="0.3">
      <c r="A3" s="12"/>
      <c r="B3" s="13"/>
      <c r="C3" s="13"/>
      <c r="D3" s="13"/>
      <c r="E3" s="13"/>
      <c r="F3" s="13"/>
      <c r="G3" s="13"/>
      <c r="H3" s="13"/>
      <c r="I3" s="13"/>
      <c r="J3" s="13"/>
      <c r="K3" s="14"/>
    </row>
    <row r="4" spans="1:11" x14ac:dyDescent="0.3">
      <c r="A4" s="12"/>
      <c r="B4" s="13"/>
      <c r="C4" s="13"/>
      <c r="D4" s="13"/>
      <c r="E4" s="13"/>
      <c r="F4" s="13"/>
      <c r="G4" s="13"/>
      <c r="H4" s="13"/>
      <c r="I4" s="13"/>
      <c r="J4" s="13"/>
      <c r="K4" s="15"/>
    </row>
    <row r="5" spans="1:11" x14ac:dyDescent="0.3">
      <c r="A5" s="12"/>
      <c r="B5" s="13"/>
      <c r="C5" s="13"/>
      <c r="D5" s="13"/>
      <c r="E5" s="13"/>
      <c r="F5" s="13"/>
      <c r="G5" s="13"/>
      <c r="H5" s="13"/>
      <c r="I5" s="13"/>
      <c r="J5" s="13"/>
      <c r="K5" s="15"/>
    </row>
    <row r="6" spans="1:1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5"/>
    </row>
    <row r="7" spans="1:11" x14ac:dyDescent="0.3">
      <c r="A7" s="12"/>
      <c r="B7" s="13"/>
      <c r="C7" s="13"/>
      <c r="D7" s="13"/>
      <c r="E7" s="13"/>
      <c r="F7" s="13"/>
      <c r="G7" s="13"/>
      <c r="H7" s="13"/>
      <c r="I7" s="13"/>
      <c r="J7" s="13"/>
      <c r="K7" s="15"/>
    </row>
    <row r="8" spans="1:11" x14ac:dyDescent="0.3">
      <c r="A8" s="12"/>
      <c r="B8" s="13"/>
      <c r="C8" s="13"/>
      <c r="D8" s="13"/>
      <c r="E8" s="13"/>
      <c r="F8" s="13"/>
      <c r="G8" s="13"/>
      <c r="H8" s="13"/>
      <c r="I8" s="13"/>
      <c r="J8" s="13"/>
      <c r="K8" s="15"/>
    </row>
    <row r="9" spans="1:11" x14ac:dyDescent="0.3">
      <c r="A9" s="12"/>
      <c r="B9" s="13"/>
      <c r="C9" s="13"/>
      <c r="D9" s="13"/>
      <c r="E9" s="13"/>
      <c r="F9" s="13"/>
      <c r="G9" s="13"/>
      <c r="H9" s="13"/>
      <c r="I9" s="13"/>
      <c r="J9" s="13"/>
      <c r="K9" s="15"/>
    </row>
    <row r="10" spans="1:11" x14ac:dyDescent="0.3">
      <c r="A10" s="12"/>
      <c r="B10" s="13"/>
      <c r="C10" s="22">
        <f xml:space="preserve"> Sheet1!H39</f>
        <v>1.910395189003436E-2</v>
      </c>
      <c r="D10" s="22"/>
      <c r="E10" s="13"/>
      <c r="F10" s="22">
        <f xml:space="preserve"> Sheet1!I39</f>
        <v>3.361111111111112E-3</v>
      </c>
      <c r="G10" s="22"/>
      <c r="H10" s="13"/>
      <c r="I10" s="22">
        <f xml:space="preserve"> Sheet1!J39</f>
        <v>3.361111111111112E-3</v>
      </c>
      <c r="J10" s="22"/>
      <c r="K10" s="15"/>
    </row>
    <row r="11" spans="1:11" ht="7.2" customHeight="1" x14ac:dyDescent="0.3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5"/>
    </row>
    <row r="12" spans="1:11" x14ac:dyDescent="0.3">
      <c r="A12" s="12"/>
      <c r="B12" s="13"/>
      <c r="C12" s="22">
        <f>Sheet1!H40</f>
        <v>1.1462371134020615E-2</v>
      </c>
      <c r="D12" s="22"/>
      <c r="E12" s="17"/>
      <c r="F12" s="22">
        <f>Sheet1!I40</f>
        <v>3.361111111111112E-3</v>
      </c>
      <c r="G12" s="22"/>
      <c r="H12" s="17"/>
      <c r="I12" s="22">
        <f>Sheet1!J40</f>
        <v>3.361111111111112E-3</v>
      </c>
      <c r="J12" s="22"/>
      <c r="K12" s="15"/>
    </row>
    <row r="13" spans="1:11" ht="7.2" customHeight="1" x14ac:dyDescent="0.3">
      <c r="A13" s="12"/>
      <c r="B13" s="13"/>
      <c r="C13" s="17"/>
      <c r="D13" s="17"/>
      <c r="E13" s="17"/>
      <c r="F13" s="17"/>
      <c r="G13" s="17"/>
      <c r="H13" s="17"/>
      <c r="I13" s="17"/>
      <c r="J13" s="17"/>
      <c r="K13" s="15"/>
    </row>
    <row r="14" spans="1:11" x14ac:dyDescent="0.3">
      <c r="A14" s="12"/>
      <c r="B14" s="13"/>
      <c r="C14" s="22">
        <f>Sheet1!H41</f>
        <v>1.432796391752577E-2</v>
      </c>
      <c r="D14" s="22"/>
      <c r="E14" s="17"/>
      <c r="F14" s="22">
        <f>Sheet1!I41</f>
        <v>3.361111111111112E-3</v>
      </c>
      <c r="G14" s="22"/>
      <c r="H14" s="17"/>
      <c r="I14" s="22">
        <f>Sheet1!J41</f>
        <v>3.361111111111112E-3</v>
      </c>
      <c r="J14" s="22"/>
      <c r="K14" s="15"/>
    </row>
    <row r="15" spans="1:11" x14ac:dyDescent="0.3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5"/>
    </row>
    <row r="16" spans="1:11" x14ac:dyDescent="0.3">
      <c r="A16" s="12"/>
      <c r="B16" s="13"/>
      <c r="C16" s="13"/>
      <c r="D16" s="13"/>
      <c r="E16" s="13"/>
      <c r="F16" s="13"/>
      <c r="G16" s="13"/>
      <c r="H16" s="13"/>
      <c r="I16" s="13"/>
      <c r="J16" s="13"/>
      <c r="K16" s="15"/>
    </row>
    <row r="17" spans="1:11" x14ac:dyDescent="0.3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15"/>
    </row>
    <row r="18" spans="1:11" x14ac:dyDescent="0.3">
      <c r="A18" s="12"/>
      <c r="B18" s="13"/>
      <c r="C18" s="13"/>
      <c r="D18" s="13"/>
      <c r="E18" s="13"/>
      <c r="F18" s="13"/>
      <c r="G18" s="13"/>
      <c r="H18" s="13"/>
      <c r="I18" s="13"/>
      <c r="J18" s="13"/>
      <c r="K18" s="15"/>
    </row>
    <row r="19" spans="1:11" x14ac:dyDescent="0.3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5"/>
    </row>
    <row r="20" spans="1:11" x14ac:dyDescent="0.3">
      <c r="A20" s="12"/>
      <c r="B20" s="13"/>
      <c r="C20" s="13"/>
      <c r="D20" s="13"/>
      <c r="E20" s="13"/>
      <c r="F20" s="13"/>
      <c r="G20" s="13"/>
      <c r="H20" s="13"/>
      <c r="I20" s="13"/>
      <c r="J20" s="13"/>
      <c r="K20" s="15"/>
    </row>
    <row r="21" spans="1:11" ht="7.2" customHeight="1" x14ac:dyDescent="0.3">
      <c r="A21" s="12"/>
      <c r="B21" s="13"/>
      <c r="C21" s="23"/>
      <c r="D21" s="23"/>
      <c r="E21" s="13"/>
      <c r="F21" s="23"/>
      <c r="G21" s="23"/>
      <c r="H21" s="13"/>
      <c r="I21" s="23"/>
      <c r="J21" s="23"/>
      <c r="K21" s="15"/>
    </row>
    <row r="22" spans="1:11" x14ac:dyDescent="0.3">
      <c r="A22" s="12"/>
      <c r="B22" s="13"/>
      <c r="C22" s="16">
        <f>Sheet1!H42</f>
        <v>1.1462371134020615E-2</v>
      </c>
      <c r="D22" s="16">
        <f>Sheet1!H43</f>
        <v>9.7430154639175232E-3</v>
      </c>
      <c r="E22" s="17"/>
      <c r="F22" s="16">
        <f>Sheet1!I42</f>
        <v>3.361111111111112E-3</v>
      </c>
      <c r="G22" s="16">
        <f>Sheet1!I43</f>
        <v>3.361111111111112E-3</v>
      </c>
      <c r="H22" s="17"/>
      <c r="I22" s="16">
        <f>Sheet1!J42</f>
        <v>3.361111111111112E-3</v>
      </c>
      <c r="J22" s="16">
        <f>Sheet1!J43</f>
        <v>3.361111111111112E-3</v>
      </c>
      <c r="K22" s="15"/>
    </row>
    <row r="23" spans="1:11" x14ac:dyDescent="0.3">
      <c r="A23" s="12"/>
      <c r="B23" s="13"/>
      <c r="C23" s="18"/>
      <c r="D23" s="18"/>
      <c r="E23" s="13"/>
      <c r="F23" s="18"/>
      <c r="G23" s="18"/>
      <c r="H23" s="13"/>
      <c r="I23" s="18"/>
      <c r="J23" s="18"/>
      <c r="K23" s="15"/>
    </row>
    <row r="24" spans="1:11" x14ac:dyDescent="0.3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5"/>
    </row>
    <row r="25" spans="1:11" x14ac:dyDescent="0.3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5"/>
    </row>
    <row r="26" spans="1:11" x14ac:dyDescent="0.3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5"/>
    </row>
    <row r="27" spans="1:11" x14ac:dyDescent="0.3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5"/>
    </row>
    <row r="28" spans="1:11" x14ac:dyDescent="0.3">
      <c r="A28" s="12"/>
      <c r="B28" s="13"/>
      <c r="C28" s="13"/>
      <c r="D28" s="13"/>
      <c r="E28" s="13"/>
      <c r="F28" s="13"/>
      <c r="G28" s="13"/>
      <c r="H28" s="13"/>
      <c r="I28" s="13"/>
      <c r="J28" s="13"/>
      <c r="K28" s="15"/>
    </row>
    <row r="29" spans="1:11" x14ac:dyDescent="0.3">
      <c r="A29" s="12"/>
      <c r="B29" s="13"/>
      <c r="C29" s="16">
        <f>Sheet1!H44</f>
        <v>1.432796391752577E-2</v>
      </c>
      <c r="D29" s="16">
        <f>Sheet1!H46</f>
        <v>1.2178769329896904E-2</v>
      </c>
      <c r="E29" s="17"/>
      <c r="F29" s="16">
        <f>Sheet1!I44</f>
        <v>3.361111111111112E-3</v>
      </c>
      <c r="G29" s="16">
        <f>Sheet1!I46</f>
        <v>3.361111111111112E-3</v>
      </c>
      <c r="H29" s="17"/>
      <c r="I29" s="16">
        <f>Sheet1!J44</f>
        <v>3.361111111111112E-3</v>
      </c>
      <c r="J29" s="16">
        <f>Sheet1!J46</f>
        <v>3.361111111111112E-3</v>
      </c>
      <c r="K29" s="15"/>
    </row>
    <row r="30" spans="1:11" ht="7.2" customHeight="1" x14ac:dyDescent="0.3">
      <c r="A30" s="12"/>
      <c r="B30" s="13"/>
      <c r="C30" s="13"/>
      <c r="D30" s="13"/>
      <c r="E30" s="13"/>
      <c r="F30" s="13"/>
      <c r="G30" s="13"/>
      <c r="H30" s="13"/>
      <c r="I30" s="13"/>
      <c r="J30" s="13"/>
      <c r="K30" s="15"/>
    </row>
    <row r="31" spans="1:11" x14ac:dyDescent="0.3">
      <c r="A31" s="12"/>
      <c r="B31" s="13"/>
      <c r="C31" s="22">
        <f>Sheet1!H45</f>
        <v>7.1639819587628849E-3</v>
      </c>
      <c r="D31" s="22"/>
      <c r="E31" s="17"/>
      <c r="F31" s="22">
        <f>Sheet1!I45</f>
        <v>3.361111111111112E-3</v>
      </c>
      <c r="G31" s="22"/>
      <c r="H31" s="17"/>
      <c r="I31" s="22">
        <f>Sheet1!J45</f>
        <v>3.361111111111112E-3</v>
      </c>
      <c r="J31" s="22"/>
      <c r="K31" s="15"/>
    </row>
    <row r="32" spans="1:11" ht="7.2" customHeight="1" x14ac:dyDescent="0.3">
      <c r="A32" s="12"/>
      <c r="B32" s="13"/>
      <c r="C32" s="13"/>
      <c r="D32" s="13"/>
      <c r="E32" s="13"/>
      <c r="F32" s="13"/>
      <c r="G32" s="13"/>
      <c r="H32" s="13"/>
      <c r="I32" s="13"/>
      <c r="J32" s="13"/>
      <c r="K32" s="15"/>
    </row>
    <row r="33" spans="1:11" ht="15" thickBot="1" x14ac:dyDescent="0.35">
      <c r="A33" s="12"/>
      <c r="B33" s="19"/>
      <c r="C33" s="20"/>
      <c r="D33" s="20"/>
      <c r="E33" s="20"/>
      <c r="F33" s="20"/>
      <c r="G33" s="20"/>
      <c r="H33" s="20"/>
      <c r="I33" s="20"/>
      <c r="J33" s="20"/>
      <c r="K33" s="21"/>
    </row>
    <row r="34" spans="1:11" ht="15" thickTop="1" x14ac:dyDescent="0.3"/>
  </sheetData>
  <mergeCells count="15">
    <mergeCell ref="F10:G10"/>
    <mergeCell ref="I10:J10"/>
    <mergeCell ref="C12:D12"/>
    <mergeCell ref="F12:G12"/>
    <mergeCell ref="I12:J12"/>
    <mergeCell ref="C10:D10"/>
    <mergeCell ref="C31:D31"/>
    <mergeCell ref="I31:J31"/>
    <mergeCell ref="F31:G31"/>
    <mergeCell ref="C14:D14"/>
    <mergeCell ref="F14:G14"/>
    <mergeCell ref="I14:J14"/>
    <mergeCell ref="C21:D21"/>
    <mergeCell ref="F21:G21"/>
    <mergeCell ref="I21:J21"/>
  </mergeCells>
  <conditionalFormatting sqref="C10:J14">
    <cfRule type="colorScale" priority="3">
      <colorScale>
        <cfvo type="num" val="0"/>
        <cfvo type="num" val="1"/>
        <color theme="0"/>
        <color rgb="FFFF0000"/>
      </colorScale>
    </cfRule>
  </conditionalFormatting>
  <conditionalFormatting sqref="C10:J31">
    <cfRule type="colorScale" priority="1">
      <colorScale>
        <cfvo type="num" val="0"/>
        <cfvo type="num" val="1"/>
        <color theme="0"/>
        <color rgb="FF0000FF"/>
      </colorScale>
    </cfRule>
  </conditionalFormatting>
  <conditionalFormatting sqref="C22:J31">
    <cfRule type="colorScale" priority="2">
      <colorScale>
        <cfvo type="num" val="0"/>
        <cfvo type="num" val="1"/>
        <color theme="0"/>
        <color rgb="FFFF0000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94D8C-5A44-4788-9825-A465BCC1185C}">
  <dimension ref="A2:K34"/>
  <sheetViews>
    <sheetView zoomScale="150" zoomScaleNormal="150" workbookViewId="0">
      <selection activeCell="B17" sqref="B17"/>
    </sheetView>
  </sheetViews>
  <sheetFormatPr defaultRowHeight="14.4" x14ac:dyDescent="0.3"/>
  <cols>
    <col min="5" max="5" width="1.77734375" customWidth="1"/>
    <col min="8" max="8" width="1.77734375" customWidth="1"/>
    <col min="11" max="11" width="3.109375" customWidth="1"/>
  </cols>
  <sheetData>
    <row r="2" spans="1:11" ht="15" thickBot="1" x14ac:dyDescent="0.35"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5" thickTop="1" x14ac:dyDescent="0.3">
      <c r="A3" s="12"/>
      <c r="B3" s="13"/>
      <c r="C3" s="13"/>
      <c r="D3" s="13"/>
      <c r="E3" s="13"/>
      <c r="F3" s="13"/>
      <c r="G3" s="13"/>
      <c r="H3" s="13"/>
      <c r="I3" s="13"/>
      <c r="J3" s="13"/>
      <c r="K3" s="14"/>
    </row>
    <row r="4" spans="1:11" x14ac:dyDescent="0.3">
      <c r="A4" s="12"/>
      <c r="B4" s="13"/>
      <c r="C4" s="13"/>
      <c r="D4" s="13"/>
      <c r="E4" s="13"/>
      <c r="F4" s="13"/>
      <c r="G4" s="13"/>
      <c r="H4" s="13"/>
      <c r="I4" s="13"/>
      <c r="J4" s="13"/>
      <c r="K4" s="15"/>
    </row>
    <row r="5" spans="1:11" x14ac:dyDescent="0.3">
      <c r="A5" s="12"/>
      <c r="B5" s="13"/>
      <c r="C5" s="13"/>
      <c r="D5" s="13"/>
      <c r="E5" s="13"/>
      <c r="F5" s="13"/>
      <c r="G5" s="13"/>
      <c r="H5" s="13"/>
      <c r="I5" s="13"/>
      <c r="J5" s="13"/>
      <c r="K5" s="15"/>
    </row>
    <row r="6" spans="1:1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5"/>
    </row>
    <row r="7" spans="1:11" x14ac:dyDescent="0.3">
      <c r="A7" s="12"/>
      <c r="B7" s="13"/>
      <c r="C7" s="13"/>
      <c r="D7" s="13"/>
      <c r="E7" s="13"/>
      <c r="F7" s="13"/>
      <c r="G7" s="13"/>
      <c r="H7" s="13"/>
      <c r="I7" s="13"/>
      <c r="J7" s="13"/>
      <c r="K7" s="15"/>
    </row>
    <row r="8" spans="1:11" x14ac:dyDescent="0.3">
      <c r="A8" s="12"/>
      <c r="B8" s="13"/>
      <c r="C8" s="13"/>
      <c r="D8" s="13"/>
      <c r="E8" s="13"/>
      <c r="F8" s="13"/>
      <c r="G8" s="13"/>
      <c r="H8" s="13"/>
      <c r="I8" s="13"/>
      <c r="J8" s="13"/>
      <c r="K8" s="15"/>
    </row>
    <row r="9" spans="1:11" x14ac:dyDescent="0.3">
      <c r="A9" s="12"/>
      <c r="B9" s="13"/>
      <c r="C9" s="13"/>
      <c r="D9" s="13"/>
      <c r="E9" s="13"/>
      <c r="F9" s="13"/>
      <c r="G9" s="13"/>
      <c r="H9" s="13"/>
      <c r="I9" s="13"/>
      <c r="J9" s="13"/>
      <c r="K9" s="15"/>
    </row>
    <row r="10" spans="1:11" x14ac:dyDescent="0.3">
      <c r="A10" s="12"/>
      <c r="B10" s="13"/>
      <c r="C10" s="22">
        <f xml:space="preserve"> Sheet1!H48</f>
        <v>0.16384525476768622</v>
      </c>
      <c r="D10" s="22"/>
      <c r="E10" s="13"/>
      <c r="F10" s="22">
        <f xml:space="preserve"> Sheet1!I48</f>
        <v>8.3092429981634543E-3</v>
      </c>
      <c r="G10" s="22"/>
      <c r="H10" s="13"/>
      <c r="I10" s="22">
        <f xml:space="preserve"> Sheet1!J48</f>
        <v>8.3092429981634543E-3</v>
      </c>
      <c r="J10" s="22"/>
      <c r="K10" s="15"/>
    </row>
    <row r="11" spans="1:11" ht="7.2" customHeight="1" x14ac:dyDescent="0.3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5"/>
    </row>
    <row r="12" spans="1:11" x14ac:dyDescent="0.3">
      <c r="A12" s="12"/>
      <c r="B12" s="13"/>
      <c r="C12" s="22">
        <f>Sheet1!H49</f>
        <v>9.830715286061173E-2</v>
      </c>
      <c r="D12" s="22"/>
      <c r="E12" s="17"/>
      <c r="F12" s="22">
        <f>Sheet1!I49</f>
        <v>8.3092429981634543E-3</v>
      </c>
      <c r="G12" s="22"/>
      <c r="H12" s="17"/>
      <c r="I12" s="22">
        <f>Sheet1!J49</f>
        <v>8.3092429981634543E-3</v>
      </c>
      <c r="J12" s="22"/>
      <c r="K12" s="15"/>
    </row>
    <row r="13" spans="1:11" ht="7.2" customHeight="1" x14ac:dyDescent="0.3">
      <c r="A13" s="12"/>
      <c r="B13" s="13"/>
      <c r="C13" s="17"/>
      <c r="D13" s="17"/>
      <c r="E13" s="17"/>
      <c r="F13" s="17"/>
      <c r="G13" s="17"/>
      <c r="H13" s="17"/>
      <c r="I13" s="17"/>
      <c r="J13" s="17"/>
      <c r="K13" s="15"/>
    </row>
    <row r="14" spans="1:11" x14ac:dyDescent="0.3">
      <c r="A14" s="12"/>
      <c r="B14" s="13"/>
      <c r="C14" s="22">
        <f>Sheet1!H50</f>
        <v>0.12288394107576467</v>
      </c>
      <c r="D14" s="22"/>
      <c r="E14" s="17"/>
      <c r="F14" s="22">
        <f>Sheet1!I50</f>
        <v>8.3092429981634543E-3</v>
      </c>
      <c r="G14" s="22"/>
      <c r="H14" s="17"/>
      <c r="I14" s="22">
        <f>Sheet1!J50</f>
        <v>8.3092429981634543E-3</v>
      </c>
      <c r="J14" s="22"/>
      <c r="K14" s="15"/>
    </row>
    <row r="15" spans="1:11" x14ac:dyDescent="0.3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5"/>
    </row>
    <row r="16" spans="1:11" x14ac:dyDescent="0.3">
      <c r="A16" s="12"/>
      <c r="B16" s="13"/>
      <c r="C16" s="13"/>
      <c r="D16" s="13"/>
      <c r="E16" s="13"/>
      <c r="F16" s="13"/>
      <c r="G16" s="13"/>
      <c r="H16" s="13"/>
      <c r="I16" s="13"/>
      <c r="J16" s="13"/>
      <c r="K16" s="15"/>
    </row>
    <row r="17" spans="1:11" x14ac:dyDescent="0.3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15"/>
    </row>
    <row r="18" spans="1:11" x14ac:dyDescent="0.3">
      <c r="A18" s="12"/>
      <c r="B18" s="13"/>
      <c r="C18" s="13"/>
      <c r="D18" s="13"/>
      <c r="E18" s="13"/>
      <c r="F18" s="13"/>
      <c r="G18" s="13"/>
      <c r="H18" s="13"/>
      <c r="I18" s="13"/>
      <c r="J18" s="13"/>
      <c r="K18" s="15"/>
    </row>
    <row r="19" spans="1:11" x14ac:dyDescent="0.3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5"/>
    </row>
    <row r="20" spans="1:11" x14ac:dyDescent="0.3">
      <c r="A20" s="12"/>
      <c r="B20" s="13"/>
      <c r="C20" s="13"/>
      <c r="D20" s="13"/>
      <c r="E20" s="13"/>
      <c r="F20" s="13"/>
      <c r="G20" s="13"/>
      <c r="H20" s="13"/>
      <c r="I20" s="13"/>
      <c r="J20" s="13"/>
      <c r="K20" s="15"/>
    </row>
    <row r="21" spans="1:11" ht="7.2" customHeight="1" x14ac:dyDescent="0.3">
      <c r="A21" s="12"/>
      <c r="B21" s="13"/>
      <c r="C21" s="23"/>
      <c r="D21" s="23"/>
      <c r="E21" s="13"/>
      <c r="F21" s="23"/>
      <c r="G21" s="23"/>
      <c r="H21" s="13"/>
      <c r="I21" s="23"/>
      <c r="J21" s="23"/>
      <c r="K21" s="15"/>
    </row>
    <row r="22" spans="1:11" x14ac:dyDescent="0.3">
      <c r="A22" s="12"/>
      <c r="B22" s="13"/>
      <c r="C22" s="16">
        <f>Sheet1!H51</f>
        <v>9.830715286061173E-2</v>
      </c>
      <c r="D22" s="16">
        <f>Sheet1!H52</f>
        <v>8.3561079931519969E-2</v>
      </c>
      <c r="E22" s="17"/>
      <c r="F22" s="16">
        <f>Sheet1!I51</f>
        <v>8.3092429981634543E-3</v>
      </c>
      <c r="G22" s="16">
        <f>Sheet1!I52</f>
        <v>8.3092429981634543E-3</v>
      </c>
      <c r="H22" s="17"/>
      <c r="I22" s="16">
        <f>Sheet1!J51</f>
        <v>8.3092429981634543E-3</v>
      </c>
      <c r="J22" s="16">
        <f>Sheet1!J52</f>
        <v>8.3092429981634543E-3</v>
      </c>
      <c r="K22" s="15"/>
    </row>
    <row r="23" spans="1:11" x14ac:dyDescent="0.3">
      <c r="A23" s="12"/>
      <c r="B23" s="13"/>
      <c r="C23" s="18"/>
      <c r="D23" s="18"/>
      <c r="E23" s="13"/>
      <c r="F23" s="18"/>
      <c r="G23" s="18"/>
      <c r="H23" s="13"/>
      <c r="I23" s="18"/>
      <c r="J23" s="18"/>
      <c r="K23" s="15"/>
    </row>
    <row r="24" spans="1:11" x14ac:dyDescent="0.3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5"/>
    </row>
    <row r="25" spans="1:11" x14ac:dyDescent="0.3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5"/>
    </row>
    <row r="26" spans="1:11" x14ac:dyDescent="0.3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5"/>
    </row>
    <row r="27" spans="1:11" x14ac:dyDescent="0.3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5"/>
    </row>
    <row r="28" spans="1:11" x14ac:dyDescent="0.3">
      <c r="A28" s="12"/>
      <c r="B28" s="13"/>
      <c r="C28" s="13"/>
      <c r="D28" s="13"/>
      <c r="E28" s="13"/>
      <c r="F28" s="13"/>
      <c r="G28" s="13"/>
      <c r="H28" s="13"/>
      <c r="I28" s="13"/>
      <c r="J28" s="13"/>
      <c r="K28" s="15"/>
    </row>
    <row r="29" spans="1:11" x14ac:dyDescent="0.3">
      <c r="A29" s="12"/>
      <c r="B29" s="13"/>
      <c r="C29" s="16">
        <f>Sheet1!H53</f>
        <v>0.12288394107576467</v>
      </c>
      <c r="D29" s="16">
        <f>Sheet1!H55</f>
        <v>0.10445134991439997</v>
      </c>
      <c r="E29" s="17"/>
      <c r="F29" s="16">
        <f>Sheet1!I53</f>
        <v>8.3092429981634543E-3</v>
      </c>
      <c r="G29" s="16">
        <f>Sheet1!I55</f>
        <v>0</v>
      </c>
      <c r="H29" s="17"/>
      <c r="I29" s="16">
        <f>Sheet1!J53</f>
        <v>8.3092429981634543E-3</v>
      </c>
      <c r="J29" s="16">
        <f>Sheet1!J55</f>
        <v>8.3092429981634543E-3</v>
      </c>
      <c r="K29" s="15"/>
    </row>
    <row r="30" spans="1:11" ht="7.2" customHeight="1" x14ac:dyDescent="0.3">
      <c r="A30" s="12"/>
      <c r="B30" s="13"/>
      <c r="C30" s="13"/>
      <c r="D30" s="13"/>
      <c r="E30" s="13"/>
      <c r="F30" s="13"/>
      <c r="G30" s="13"/>
      <c r="H30" s="13"/>
      <c r="I30" s="13"/>
      <c r="J30" s="13"/>
      <c r="K30" s="15"/>
    </row>
    <row r="31" spans="1:11" x14ac:dyDescent="0.3">
      <c r="A31" s="12"/>
      <c r="B31" s="13"/>
      <c r="C31" s="22">
        <f>Sheet1!H54</f>
        <v>6.1441970537882334E-2</v>
      </c>
      <c r="D31" s="22"/>
      <c r="E31" s="17"/>
      <c r="F31" s="22">
        <f>Sheet1!I54</f>
        <v>8.3092429981634543E-3</v>
      </c>
      <c r="G31" s="22"/>
      <c r="H31" s="17"/>
      <c r="I31" s="22">
        <f>Sheet1!J54</f>
        <v>8.3092429981634543E-3</v>
      </c>
      <c r="J31" s="22"/>
      <c r="K31" s="15"/>
    </row>
    <row r="32" spans="1:11" ht="7.2" customHeight="1" x14ac:dyDescent="0.3">
      <c r="A32" s="12"/>
      <c r="B32" s="13"/>
      <c r="C32" s="13"/>
      <c r="D32" s="13"/>
      <c r="E32" s="13"/>
      <c r="F32" s="13"/>
      <c r="G32" s="13"/>
      <c r="H32" s="13"/>
      <c r="I32" s="13"/>
      <c r="J32" s="13"/>
      <c r="K32" s="15"/>
    </row>
    <row r="33" spans="1:11" ht="15" thickBot="1" x14ac:dyDescent="0.35">
      <c r="A33" s="12"/>
      <c r="B33" s="19"/>
      <c r="C33" s="20"/>
      <c r="D33" s="20"/>
      <c r="E33" s="20"/>
      <c r="F33" s="20"/>
      <c r="G33" s="20"/>
      <c r="H33" s="20"/>
      <c r="I33" s="20"/>
      <c r="J33" s="20"/>
      <c r="K33" s="21"/>
    </row>
    <row r="34" spans="1:11" ht="15" thickTop="1" x14ac:dyDescent="0.3"/>
  </sheetData>
  <mergeCells count="15">
    <mergeCell ref="C10:D10"/>
    <mergeCell ref="F10:G10"/>
    <mergeCell ref="I10:J10"/>
    <mergeCell ref="C12:D12"/>
    <mergeCell ref="F12:G12"/>
    <mergeCell ref="I12:J12"/>
    <mergeCell ref="C31:D31"/>
    <mergeCell ref="F31:G31"/>
    <mergeCell ref="I31:J31"/>
    <mergeCell ref="C14:D14"/>
    <mergeCell ref="F14:G14"/>
    <mergeCell ref="I14:J14"/>
    <mergeCell ref="C21:D21"/>
    <mergeCell ref="F21:G21"/>
    <mergeCell ref="I21:J21"/>
  </mergeCells>
  <conditionalFormatting sqref="C10:J14">
    <cfRule type="colorScale" priority="3">
      <colorScale>
        <cfvo type="num" val="0"/>
        <cfvo type="num" val="1"/>
        <color theme="0"/>
        <color rgb="FFFF0000"/>
      </colorScale>
    </cfRule>
  </conditionalFormatting>
  <conditionalFormatting sqref="C10:J31">
    <cfRule type="colorScale" priority="1">
      <colorScale>
        <cfvo type="num" val="0"/>
        <cfvo type="num" val="1"/>
        <color theme="0"/>
        <color rgb="FF0000FF"/>
      </colorScale>
    </cfRule>
  </conditionalFormatting>
  <conditionalFormatting sqref="C22:J31">
    <cfRule type="colorScale" priority="2">
      <colorScale>
        <cfvo type="num" val="0"/>
        <cfvo type="num" val="1"/>
        <color theme="0"/>
        <color rgb="FFFF0000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CE9FA-A2A7-4724-A267-0DB8EE9B1201}">
  <dimension ref="A2:K34"/>
  <sheetViews>
    <sheetView topLeftCell="A7" zoomScale="266" zoomScaleNormal="266" workbookViewId="0">
      <selection activeCell="B12" sqref="B12"/>
    </sheetView>
  </sheetViews>
  <sheetFormatPr defaultRowHeight="14.4" x14ac:dyDescent="0.3"/>
  <cols>
    <col min="5" max="5" width="1.77734375" customWidth="1"/>
    <col min="8" max="8" width="1.77734375" customWidth="1"/>
    <col min="11" max="11" width="3.109375" customWidth="1"/>
  </cols>
  <sheetData>
    <row r="2" spans="1:11" ht="15" thickBot="1" x14ac:dyDescent="0.35"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5" thickTop="1" x14ac:dyDescent="0.3">
      <c r="A3" s="12"/>
      <c r="B3" s="13"/>
      <c r="C3" s="13"/>
      <c r="D3" s="13"/>
      <c r="E3" s="13"/>
      <c r="F3" s="13"/>
      <c r="G3" s="13"/>
      <c r="H3" s="13"/>
      <c r="I3" s="13"/>
      <c r="J3" s="13"/>
      <c r="K3" s="14"/>
    </row>
    <row r="4" spans="1:11" x14ac:dyDescent="0.3">
      <c r="A4" s="12"/>
      <c r="B4" s="13"/>
      <c r="C4" s="13"/>
      <c r="D4" s="13"/>
      <c r="E4" s="13"/>
      <c r="F4" s="13"/>
      <c r="G4" s="13"/>
      <c r="H4" s="13"/>
      <c r="I4" s="13"/>
      <c r="J4" s="13"/>
      <c r="K4" s="15"/>
    </row>
    <row r="5" spans="1:11" x14ac:dyDescent="0.3">
      <c r="A5" s="12"/>
      <c r="B5" s="13"/>
      <c r="C5" s="13"/>
      <c r="D5" s="13"/>
      <c r="E5" s="13"/>
      <c r="F5" s="13"/>
      <c r="G5" s="13"/>
      <c r="H5" s="13"/>
      <c r="I5" s="13"/>
      <c r="J5" s="13"/>
      <c r="K5" s="15"/>
    </row>
    <row r="6" spans="1:1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5"/>
    </row>
    <row r="7" spans="1:11" x14ac:dyDescent="0.3">
      <c r="A7" s="12"/>
      <c r="B7" s="13"/>
      <c r="C7" s="13"/>
      <c r="D7" s="13"/>
      <c r="E7" s="13"/>
      <c r="F7" s="13"/>
      <c r="G7" s="13"/>
      <c r="H7" s="13"/>
      <c r="I7" s="13"/>
      <c r="J7" s="13"/>
      <c r="K7" s="15"/>
    </row>
    <row r="8" spans="1:11" x14ac:dyDescent="0.3">
      <c r="A8" s="12"/>
      <c r="B8" s="13"/>
      <c r="C8" s="13"/>
      <c r="D8" s="13"/>
      <c r="E8" s="13"/>
      <c r="F8" s="13"/>
      <c r="G8" s="13"/>
      <c r="H8" s="13"/>
      <c r="I8" s="13"/>
      <c r="J8" s="13"/>
      <c r="K8" s="15"/>
    </row>
    <row r="9" spans="1:11" x14ac:dyDescent="0.3">
      <c r="A9" s="12"/>
      <c r="B9" s="13"/>
      <c r="C9" s="13"/>
      <c r="D9" s="13"/>
      <c r="E9" s="13"/>
      <c r="F9" s="13"/>
      <c r="G9" s="13"/>
      <c r="H9" s="13"/>
      <c r="I9" s="13"/>
      <c r="J9" s="13"/>
      <c r="K9" s="15"/>
    </row>
    <row r="10" spans="1:11" x14ac:dyDescent="0.3">
      <c r="A10" s="12"/>
      <c r="B10" s="13"/>
      <c r="C10" s="22">
        <f xml:space="preserve"> Sheet1!H57</f>
        <v>0.23441258591065289</v>
      </c>
      <c r="D10" s="22"/>
      <c r="E10" s="13"/>
      <c r="F10" s="22">
        <f xml:space="preserve"> Sheet1!I57</f>
        <v>2.100694444444445E-2</v>
      </c>
      <c r="G10" s="22"/>
      <c r="H10" s="13"/>
      <c r="I10" s="22">
        <f xml:space="preserve"> Sheet1!J57</f>
        <v>2.100694444444445E-2</v>
      </c>
      <c r="J10" s="22"/>
      <c r="K10" s="15"/>
    </row>
    <row r="11" spans="1:11" ht="7.2" customHeight="1" x14ac:dyDescent="0.3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5"/>
    </row>
    <row r="12" spans="1:11" x14ac:dyDescent="0.3">
      <c r="A12" s="12"/>
      <c r="B12" s="13"/>
      <c r="C12" s="22">
        <f>Sheet1!H58</f>
        <v>0.14064755154639172</v>
      </c>
      <c r="D12" s="22"/>
      <c r="E12" s="17"/>
      <c r="F12" s="22">
        <f>Sheet1!I58</f>
        <v>2.100694444444445E-2</v>
      </c>
      <c r="G12" s="22"/>
      <c r="H12" s="17"/>
      <c r="I12" s="22">
        <f>Sheet1!J58</f>
        <v>2.100694444444445E-2</v>
      </c>
      <c r="J12" s="22"/>
      <c r="K12" s="15"/>
    </row>
    <row r="13" spans="1:11" ht="7.2" customHeight="1" x14ac:dyDescent="0.3">
      <c r="A13" s="12"/>
      <c r="B13" s="13"/>
      <c r="C13" s="17"/>
      <c r="D13" s="17"/>
      <c r="E13" s="17"/>
      <c r="F13" s="17"/>
      <c r="G13" s="17"/>
      <c r="H13" s="17"/>
      <c r="I13" s="17"/>
      <c r="J13" s="17"/>
      <c r="K13" s="15"/>
    </row>
    <row r="14" spans="1:11" x14ac:dyDescent="0.3">
      <c r="A14" s="12"/>
      <c r="B14" s="13"/>
      <c r="C14" s="22">
        <f>Sheet1!H59</f>
        <v>0.17580943943298966</v>
      </c>
      <c r="D14" s="22"/>
      <c r="E14" s="17"/>
      <c r="F14" s="22">
        <f>Sheet1!I59</f>
        <v>2.100694444444445E-2</v>
      </c>
      <c r="G14" s="22"/>
      <c r="H14" s="17"/>
      <c r="I14" s="22">
        <f>Sheet1!J59</f>
        <v>2.100694444444445E-2</v>
      </c>
      <c r="J14" s="22"/>
      <c r="K14" s="15"/>
    </row>
    <row r="15" spans="1:11" x14ac:dyDescent="0.3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5"/>
    </row>
    <row r="16" spans="1:11" x14ac:dyDescent="0.3">
      <c r="A16" s="12"/>
      <c r="B16" s="13"/>
      <c r="C16" s="13"/>
      <c r="D16" s="13"/>
      <c r="E16" s="13"/>
      <c r="F16" s="13"/>
      <c r="G16" s="13"/>
      <c r="H16" s="13"/>
      <c r="I16" s="13"/>
      <c r="J16" s="13"/>
      <c r="K16" s="15"/>
    </row>
    <row r="17" spans="1:11" x14ac:dyDescent="0.3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15"/>
    </row>
    <row r="18" spans="1:11" x14ac:dyDescent="0.3">
      <c r="A18" s="12"/>
      <c r="B18" s="13"/>
      <c r="C18" s="13"/>
      <c r="D18" s="13"/>
      <c r="E18" s="13"/>
      <c r="F18" s="13"/>
      <c r="G18" s="13"/>
      <c r="H18" s="13"/>
      <c r="I18" s="13"/>
      <c r="J18" s="13"/>
      <c r="K18" s="15"/>
    </row>
    <row r="19" spans="1:11" x14ac:dyDescent="0.3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5"/>
    </row>
    <row r="20" spans="1:11" x14ac:dyDescent="0.3">
      <c r="A20" s="12"/>
      <c r="B20" s="13"/>
      <c r="C20" s="13"/>
      <c r="D20" s="13"/>
      <c r="E20" s="13"/>
      <c r="F20" s="13"/>
      <c r="G20" s="13"/>
      <c r="H20" s="13"/>
      <c r="I20" s="13"/>
      <c r="J20" s="13"/>
      <c r="K20" s="15"/>
    </row>
    <row r="21" spans="1:11" ht="7.2" customHeight="1" x14ac:dyDescent="0.3">
      <c r="A21" s="12"/>
      <c r="B21" s="13"/>
      <c r="C21" s="23"/>
      <c r="D21" s="23"/>
      <c r="E21" s="13"/>
      <c r="F21" s="23"/>
      <c r="G21" s="23"/>
      <c r="H21" s="13"/>
      <c r="I21" s="23"/>
      <c r="J21" s="23"/>
      <c r="K21" s="15"/>
    </row>
    <row r="22" spans="1:11" x14ac:dyDescent="0.3">
      <c r="A22" s="12"/>
      <c r="B22" s="13"/>
      <c r="C22" s="16">
        <f>Sheet1!H60</f>
        <v>0.14064755154639172</v>
      </c>
      <c r="D22" s="16">
        <f>Sheet1!H61</f>
        <v>0.11955041881443296</v>
      </c>
      <c r="E22" s="17"/>
      <c r="F22" s="16">
        <f>Sheet1!I60</f>
        <v>2.100694444444445E-2</v>
      </c>
      <c r="G22" s="16">
        <f>Sheet1!I61</f>
        <v>2.100694444444445E-2</v>
      </c>
      <c r="H22" s="17"/>
      <c r="I22" s="16">
        <f>Sheet1!J60</f>
        <v>2.100694444444445E-2</v>
      </c>
      <c r="J22" s="16">
        <f>Sheet1!J61</f>
        <v>2.100694444444445E-2</v>
      </c>
      <c r="K22" s="15"/>
    </row>
    <row r="23" spans="1:11" x14ac:dyDescent="0.3">
      <c r="A23" s="12"/>
      <c r="B23" s="13"/>
      <c r="C23" s="18"/>
      <c r="D23" s="18"/>
      <c r="E23" s="13"/>
      <c r="F23" s="18"/>
      <c r="G23" s="18"/>
      <c r="H23" s="13"/>
      <c r="I23" s="18"/>
      <c r="J23" s="18"/>
      <c r="K23" s="15"/>
    </row>
    <row r="24" spans="1:11" x14ac:dyDescent="0.3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5"/>
    </row>
    <row r="25" spans="1:11" x14ac:dyDescent="0.3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5"/>
    </row>
    <row r="26" spans="1:11" x14ac:dyDescent="0.3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5"/>
    </row>
    <row r="27" spans="1:11" x14ac:dyDescent="0.3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5"/>
    </row>
    <row r="28" spans="1:11" x14ac:dyDescent="0.3">
      <c r="A28" s="12"/>
      <c r="B28" s="13"/>
      <c r="C28" s="13"/>
      <c r="D28" s="13"/>
      <c r="E28" s="13"/>
      <c r="F28" s="13"/>
      <c r="G28" s="13"/>
      <c r="H28" s="13"/>
      <c r="I28" s="13"/>
      <c r="J28" s="13"/>
      <c r="K28" s="15"/>
    </row>
    <row r="29" spans="1:11" x14ac:dyDescent="0.3">
      <c r="A29" s="12"/>
      <c r="B29" s="13"/>
      <c r="C29" s="16">
        <f>Sheet1!H62</f>
        <v>0.17580943943298966</v>
      </c>
      <c r="D29" s="16">
        <f>Sheet1!H64</f>
        <v>0.1494380235180412</v>
      </c>
      <c r="E29" s="17"/>
      <c r="F29" s="16">
        <f>Sheet1!I62</f>
        <v>2.100694444444445E-2</v>
      </c>
      <c r="G29" s="16">
        <f>Sheet1!I64</f>
        <v>2.100694444444445E-2</v>
      </c>
      <c r="H29" s="17"/>
      <c r="I29" s="16">
        <f>Sheet1!J62</f>
        <v>2.100694444444445E-2</v>
      </c>
      <c r="J29" s="16">
        <f>Sheet1!J63</f>
        <v>2.100694444444445E-2</v>
      </c>
      <c r="K29" s="15"/>
    </row>
    <row r="30" spans="1:11" ht="7.2" customHeight="1" x14ac:dyDescent="0.3">
      <c r="A30" s="12"/>
      <c r="B30" s="13"/>
      <c r="C30" s="13"/>
      <c r="D30" s="13"/>
      <c r="E30" s="13"/>
      <c r="F30" s="13"/>
      <c r="G30" s="13"/>
      <c r="H30" s="13"/>
      <c r="I30" s="13"/>
      <c r="J30" s="13"/>
      <c r="K30" s="15"/>
    </row>
    <row r="31" spans="1:11" x14ac:dyDescent="0.3">
      <c r="A31" s="12"/>
      <c r="B31" s="13"/>
      <c r="C31" s="22">
        <f>Sheet1!H63</f>
        <v>8.7904719716494828E-2</v>
      </c>
      <c r="D31" s="22"/>
      <c r="E31" s="17"/>
      <c r="F31" s="22">
        <f>Sheet1!I63</f>
        <v>2.100694444444445E-2</v>
      </c>
      <c r="G31" s="22"/>
      <c r="H31" s="17"/>
      <c r="I31" s="22">
        <f>Sheet1!J64</f>
        <v>2.100694444444445E-2</v>
      </c>
      <c r="J31" s="22"/>
      <c r="K31" s="15"/>
    </row>
    <row r="32" spans="1:11" ht="7.2" customHeight="1" x14ac:dyDescent="0.3">
      <c r="A32" s="12"/>
      <c r="B32" s="13"/>
      <c r="C32" s="13"/>
      <c r="D32" s="13"/>
      <c r="E32" s="13"/>
      <c r="F32" s="13"/>
      <c r="G32" s="13"/>
      <c r="H32" s="13"/>
      <c r="I32" s="13"/>
      <c r="J32" s="13"/>
      <c r="K32" s="15"/>
    </row>
    <row r="33" spans="1:11" ht="15" thickBot="1" x14ac:dyDescent="0.35">
      <c r="A33" s="12"/>
      <c r="B33" s="19"/>
      <c r="C33" s="20"/>
      <c r="D33" s="20"/>
      <c r="E33" s="20"/>
      <c r="F33" s="20"/>
      <c r="G33" s="20"/>
      <c r="H33" s="20"/>
      <c r="I33" s="20"/>
      <c r="J33" s="20"/>
      <c r="K33" s="21"/>
    </row>
    <row r="34" spans="1:11" ht="15" thickTop="1" x14ac:dyDescent="0.3"/>
  </sheetData>
  <mergeCells count="15">
    <mergeCell ref="C10:D10"/>
    <mergeCell ref="F10:G10"/>
    <mergeCell ref="I10:J10"/>
    <mergeCell ref="C12:D12"/>
    <mergeCell ref="F12:G12"/>
    <mergeCell ref="I12:J12"/>
    <mergeCell ref="C31:D31"/>
    <mergeCell ref="F31:G31"/>
    <mergeCell ref="I31:J31"/>
    <mergeCell ref="C14:D14"/>
    <mergeCell ref="F14:G14"/>
    <mergeCell ref="I14:J14"/>
    <mergeCell ref="C21:D21"/>
    <mergeCell ref="F21:G21"/>
    <mergeCell ref="I21:J21"/>
  </mergeCells>
  <conditionalFormatting sqref="C10:J14">
    <cfRule type="colorScale" priority="3">
      <colorScale>
        <cfvo type="num" val="0"/>
        <cfvo type="num" val="1"/>
        <color theme="0"/>
        <color rgb="FFFF0000"/>
      </colorScale>
    </cfRule>
  </conditionalFormatting>
  <conditionalFormatting sqref="C10:J32">
    <cfRule type="colorScale" priority="1">
      <colorScale>
        <cfvo type="num" val="0"/>
        <cfvo type="num" val="1"/>
        <color theme="0"/>
        <color rgb="FF0000FF"/>
      </colorScale>
    </cfRule>
  </conditionalFormatting>
  <conditionalFormatting sqref="C22:J31">
    <cfRule type="colorScale" priority="2">
      <colorScale>
        <cfvo type="num" val="0"/>
        <cfvo type="num" val="1"/>
        <color theme="0"/>
        <color rgb="FFFF0000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00ED9-8AB2-465B-A51F-27422C293179}">
  <dimension ref="A2:K34"/>
  <sheetViews>
    <sheetView topLeftCell="A9" zoomScale="198" zoomScaleNormal="198" workbookViewId="0">
      <selection activeCell="A16" sqref="A16"/>
    </sheetView>
  </sheetViews>
  <sheetFormatPr defaultRowHeight="14.4" x14ac:dyDescent="0.3"/>
  <cols>
    <col min="5" max="5" width="1.77734375" customWidth="1"/>
    <col min="8" max="8" width="1.77734375" customWidth="1"/>
    <col min="11" max="11" width="3.109375" customWidth="1"/>
  </cols>
  <sheetData>
    <row r="2" spans="1:11" ht="15" thickBot="1" x14ac:dyDescent="0.35"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5" thickTop="1" x14ac:dyDescent="0.3">
      <c r="A3" s="12"/>
      <c r="B3" s="13"/>
      <c r="C3" s="13"/>
      <c r="D3" s="13"/>
      <c r="E3" s="13"/>
      <c r="F3" s="13"/>
      <c r="G3" s="13"/>
      <c r="H3" s="13"/>
      <c r="I3" s="13"/>
      <c r="J3" s="13"/>
      <c r="K3" s="14"/>
    </row>
    <row r="4" spans="1:11" x14ac:dyDescent="0.3">
      <c r="A4" s="12"/>
      <c r="B4" s="13"/>
      <c r="C4" s="13"/>
      <c r="D4" s="13"/>
      <c r="E4" s="13"/>
      <c r="F4" s="13"/>
      <c r="G4" s="13"/>
      <c r="H4" s="13"/>
      <c r="I4" s="13"/>
      <c r="J4" s="13"/>
      <c r="K4" s="15"/>
    </row>
    <row r="5" spans="1:11" x14ac:dyDescent="0.3">
      <c r="A5" s="12"/>
      <c r="B5" s="13"/>
      <c r="C5" s="13"/>
      <c r="D5" s="13"/>
      <c r="E5" s="13"/>
      <c r="F5" s="13"/>
      <c r="G5" s="13"/>
      <c r="H5" s="13"/>
      <c r="I5" s="13"/>
      <c r="J5" s="13"/>
      <c r="K5" s="15"/>
    </row>
    <row r="6" spans="1:1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5"/>
    </row>
    <row r="7" spans="1:11" x14ac:dyDescent="0.3">
      <c r="A7" s="12"/>
      <c r="B7" s="13"/>
      <c r="C7" s="13"/>
      <c r="D7" s="13"/>
      <c r="E7" s="13"/>
      <c r="F7" s="13"/>
      <c r="G7" s="13"/>
      <c r="H7" s="13"/>
      <c r="I7" s="13"/>
      <c r="J7" s="13"/>
      <c r="K7" s="15"/>
    </row>
    <row r="8" spans="1:11" x14ac:dyDescent="0.3">
      <c r="A8" s="12"/>
      <c r="B8" s="13"/>
      <c r="C8" s="13"/>
      <c r="D8" s="13"/>
      <c r="E8" s="13"/>
      <c r="F8" s="13"/>
      <c r="G8" s="13"/>
      <c r="H8" s="13"/>
      <c r="I8" s="13"/>
      <c r="J8" s="13"/>
      <c r="K8" s="15"/>
    </row>
    <row r="9" spans="1:11" x14ac:dyDescent="0.3">
      <c r="A9" s="12"/>
      <c r="B9" s="13"/>
      <c r="C9" s="13"/>
      <c r="D9" s="13"/>
      <c r="E9" s="13"/>
      <c r="F9" s="13"/>
      <c r="G9" s="13"/>
      <c r="H9" s="13"/>
      <c r="I9" s="13"/>
      <c r="J9" s="13"/>
      <c r="K9" s="15"/>
    </row>
    <row r="10" spans="1:11" x14ac:dyDescent="0.3">
      <c r="A10" s="12"/>
      <c r="B10" s="13"/>
      <c r="C10" s="22">
        <f xml:space="preserve"> Sheet1!H66</f>
        <v>0.40321258670940896</v>
      </c>
      <c r="D10" s="22"/>
      <c r="E10" s="13"/>
      <c r="F10" s="22">
        <f xml:space="preserve"> Sheet1!I66</f>
        <v>0.22280021557538837</v>
      </c>
      <c r="G10" s="22"/>
      <c r="H10" s="13"/>
      <c r="I10" s="22">
        <f xml:space="preserve"> Sheet1!J66</f>
        <v>4.2387844441367763E-2</v>
      </c>
      <c r="J10" s="22"/>
      <c r="K10" s="15"/>
    </row>
    <row r="11" spans="1:11" ht="7.2" customHeight="1" x14ac:dyDescent="0.3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5"/>
    </row>
    <row r="12" spans="1:11" x14ac:dyDescent="0.3">
      <c r="A12" s="12"/>
      <c r="B12" s="13"/>
      <c r="C12" s="22">
        <f>Sheet1!H67</f>
        <v>0.24192755202564536</v>
      </c>
      <c r="D12" s="22"/>
      <c r="E12" s="17"/>
      <c r="F12" s="22">
        <f>Sheet1!I67</f>
        <v>0.13368012934523302</v>
      </c>
      <c r="G12" s="22"/>
      <c r="H12" s="17"/>
      <c r="I12" s="22">
        <f>Sheet1!J67</f>
        <v>2.5432706664820656E-2</v>
      </c>
      <c r="J12" s="22"/>
      <c r="K12" s="15"/>
    </row>
    <row r="13" spans="1:11" ht="7.2" customHeight="1" x14ac:dyDescent="0.3">
      <c r="A13" s="12"/>
      <c r="B13" s="13"/>
      <c r="C13" s="17"/>
      <c r="D13" s="17"/>
      <c r="E13" s="17"/>
      <c r="F13" s="17"/>
      <c r="G13" s="17"/>
      <c r="H13" s="17"/>
      <c r="I13" s="17"/>
      <c r="J13" s="17"/>
      <c r="K13" s="15"/>
    </row>
    <row r="14" spans="1:11" x14ac:dyDescent="0.3">
      <c r="A14" s="12"/>
      <c r="B14" s="13"/>
      <c r="C14" s="22">
        <f>Sheet1!H68</f>
        <v>0.30240944003205672</v>
      </c>
      <c r="D14" s="22"/>
      <c r="E14" s="17"/>
      <c r="F14" s="22">
        <f>Sheet1!I68</f>
        <v>0.16710016168154129</v>
      </c>
      <c r="G14" s="22"/>
      <c r="H14" s="17"/>
      <c r="I14" s="22">
        <f>Sheet1!J68</f>
        <v>3.1790883331025824E-2</v>
      </c>
      <c r="J14" s="22"/>
      <c r="K14" s="15"/>
    </row>
    <row r="15" spans="1:11" x14ac:dyDescent="0.3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5"/>
    </row>
    <row r="16" spans="1:11" x14ac:dyDescent="0.3">
      <c r="A16" s="12"/>
      <c r="B16" s="13"/>
      <c r="C16" s="13"/>
      <c r="D16" s="13"/>
      <c r="E16" s="13"/>
      <c r="F16" s="13"/>
      <c r="G16" s="13"/>
      <c r="H16" s="13"/>
      <c r="I16" s="13"/>
      <c r="J16" s="13"/>
      <c r="K16" s="15"/>
    </row>
    <row r="17" spans="1:11" x14ac:dyDescent="0.3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15"/>
    </row>
    <row r="18" spans="1:11" x14ac:dyDescent="0.3">
      <c r="A18" s="12"/>
      <c r="B18" s="13"/>
      <c r="C18" s="13"/>
      <c r="D18" s="13"/>
      <c r="E18" s="13"/>
      <c r="F18" s="13"/>
      <c r="G18" s="13"/>
      <c r="H18" s="13"/>
      <c r="I18" s="13"/>
      <c r="J18" s="13"/>
      <c r="K18" s="15"/>
    </row>
    <row r="19" spans="1:11" x14ac:dyDescent="0.3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5"/>
    </row>
    <row r="20" spans="1:11" x14ac:dyDescent="0.3">
      <c r="A20" s="12"/>
      <c r="B20" s="13"/>
      <c r="C20" s="13"/>
      <c r="D20" s="13"/>
      <c r="E20" s="13"/>
      <c r="F20" s="13"/>
      <c r="G20" s="13"/>
      <c r="H20" s="13"/>
      <c r="I20" s="13"/>
      <c r="J20" s="13"/>
      <c r="K20" s="15"/>
    </row>
    <row r="21" spans="1:11" ht="7.2" customHeight="1" x14ac:dyDescent="0.3">
      <c r="A21" s="12"/>
      <c r="B21" s="13"/>
      <c r="C21" s="23"/>
      <c r="D21" s="23"/>
      <c r="E21" s="13"/>
      <c r="F21" s="23"/>
      <c r="G21" s="23"/>
      <c r="H21" s="13"/>
      <c r="I21" s="23"/>
      <c r="J21" s="23"/>
      <c r="K21" s="15"/>
    </row>
    <row r="22" spans="1:11" x14ac:dyDescent="0.3">
      <c r="A22" s="12"/>
      <c r="B22" s="13"/>
      <c r="C22" s="16">
        <f>Sheet1!H69</f>
        <v>0.24192755202564536</v>
      </c>
      <c r="D22" s="16">
        <f>Sheet1!H70</f>
        <v>0.20563841922179857</v>
      </c>
      <c r="E22" s="17"/>
      <c r="F22" s="16">
        <f>Sheet1!I69</f>
        <v>0.13368012934523302</v>
      </c>
      <c r="G22" s="16">
        <f>Sheet1!I70</f>
        <v>0.11362810994344806</v>
      </c>
      <c r="H22" s="17"/>
      <c r="I22" s="16">
        <f>Sheet1!J69</f>
        <v>2.5432706664820656E-2</v>
      </c>
      <c r="J22" s="16">
        <f>Sheet1!J70</f>
        <v>2.1617800665097556E-2</v>
      </c>
      <c r="K22" s="15"/>
    </row>
    <row r="23" spans="1:11" x14ac:dyDescent="0.3">
      <c r="A23" s="12"/>
      <c r="B23" s="13"/>
      <c r="C23" s="18"/>
      <c r="D23" s="18"/>
      <c r="E23" s="13"/>
      <c r="F23" s="18"/>
      <c r="G23" s="18"/>
      <c r="H23" s="13"/>
      <c r="I23" s="18"/>
      <c r="J23" s="18"/>
      <c r="K23" s="15"/>
    </row>
    <row r="24" spans="1:11" x14ac:dyDescent="0.3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5"/>
    </row>
    <row r="25" spans="1:11" x14ac:dyDescent="0.3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5"/>
    </row>
    <row r="26" spans="1:11" x14ac:dyDescent="0.3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5"/>
    </row>
    <row r="27" spans="1:11" x14ac:dyDescent="0.3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5"/>
    </row>
    <row r="28" spans="1:11" x14ac:dyDescent="0.3">
      <c r="A28" s="12"/>
      <c r="B28" s="13"/>
      <c r="C28" s="13"/>
      <c r="D28" s="13"/>
      <c r="E28" s="13"/>
      <c r="F28" s="13"/>
      <c r="G28" s="13"/>
      <c r="H28" s="13"/>
      <c r="I28" s="13"/>
      <c r="J28" s="13"/>
      <c r="K28" s="15"/>
    </row>
    <row r="29" spans="1:11" x14ac:dyDescent="0.3">
      <c r="A29" s="12"/>
      <c r="B29" s="13"/>
      <c r="C29" s="16">
        <f>Sheet1!H71</f>
        <v>0.30240944003205672</v>
      </c>
      <c r="D29" s="16">
        <f>Sheet1!H73</f>
        <v>0.25704802402724819</v>
      </c>
      <c r="E29" s="17"/>
      <c r="F29" s="16">
        <f>Sheet1!I71</f>
        <v>0.16710016168154129</v>
      </c>
      <c r="G29" s="16">
        <f>Sheet1!I73</f>
        <v>0.14203513742931009</v>
      </c>
      <c r="H29" s="17"/>
      <c r="I29" s="16">
        <f>Sheet1!J71</f>
        <v>3.1790883331025824E-2</v>
      </c>
      <c r="J29" s="16">
        <f>Sheet1!J73</f>
        <v>2.7022250831371948E-2</v>
      </c>
      <c r="K29" s="15"/>
    </row>
    <row r="30" spans="1:11" ht="7.2" customHeight="1" x14ac:dyDescent="0.3">
      <c r="A30" s="12"/>
      <c r="B30" s="13"/>
      <c r="C30" s="13"/>
      <c r="D30" s="13"/>
      <c r="E30" s="13"/>
      <c r="F30" s="13"/>
      <c r="G30" s="13"/>
      <c r="H30" s="13"/>
      <c r="I30" s="13"/>
      <c r="J30" s="13"/>
      <c r="K30" s="15"/>
    </row>
    <row r="31" spans="1:11" x14ac:dyDescent="0.3">
      <c r="A31" s="12"/>
      <c r="B31" s="13"/>
      <c r="C31" s="22">
        <f>Sheet1!H72</f>
        <v>0.15120472001602836</v>
      </c>
      <c r="D31" s="22"/>
      <c r="E31" s="17"/>
      <c r="F31" s="22">
        <f>Sheet1!I72</f>
        <v>8.3550080840770646E-2</v>
      </c>
      <c r="G31" s="22"/>
      <c r="H31" s="17"/>
      <c r="I31" s="22">
        <f>Sheet1!J72</f>
        <v>1.5895441665512912E-2</v>
      </c>
      <c r="J31" s="22"/>
      <c r="K31" s="15"/>
    </row>
    <row r="32" spans="1:11" ht="7.2" customHeight="1" x14ac:dyDescent="0.3">
      <c r="A32" s="12"/>
      <c r="B32" s="13"/>
      <c r="C32" s="13"/>
      <c r="D32" s="13"/>
      <c r="E32" s="13"/>
      <c r="F32" s="13"/>
      <c r="G32" s="13"/>
      <c r="H32" s="13"/>
      <c r="I32" s="13"/>
      <c r="J32" s="13"/>
      <c r="K32" s="15"/>
    </row>
    <row r="33" spans="1:11" ht="15" thickBot="1" x14ac:dyDescent="0.35">
      <c r="A33" s="12"/>
      <c r="B33" s="19"/>
      <c r="C33" s="20"/>
      <c r="D33" s="20"/>
      <c r="E33" s="20"/>
      <c r="F33" s="20"/>
      <c r="G33" s="20"/>
      <c r="H33" s="20"/>
      <c r="I33" s="20"/>
      <c r="J33" s="20"/>
      <c r="K33" s="21"/>
    </row>
    <row r="34" spans="1:11" ht="15" thickTop="1" x14ac:dyDescent="0.3"/>
  </sheetData>
  <mergeCells count="15">
    <mergeCell ref="C10:D10"/>
    <mergeCell ref="F10:G10"/>
    <mergeCell ref="I10:J10"/>
    <mergeCell ref="C12:D12"/>
    <mergeCell ref="F12:G12"/>
    <mergeCell ref="I12:J12"/>
    <mergeCell ref="C31:D31"/>
    <mergeCell ref="F31:G31"/>
    <mergeCell ref="I31:J31"/>
    <mergeCell ref="C14:D14"/>
    <mergeCell ref="F14:G14"/>
    <mergeCell ref="I14:J14"/>
    <mergeCell ref="C21:D21"/>
    <mergeCell ref="F21:G21"/>
    <mergeCell ref="I21:J21"/>
  </mergeCells>
  <conditionalFormatting sqref="C10:J14">
    <cfRule type="colorScale" priority="3">
      <colorScale>
        <cfvo type="num" val="0"/>
        <cfvo type="num" val="1"/>
        <color theme="0"/>
        <color rgb="FFFF0000"/>
      </colorScale>
    </cfRule>
  </conditionalFormatting>
  <conditionalFormatting sqref="C10:J31">
    <cfRule type="colorScale" priority="1">
      <colorScale>
        <cfvo type="num" val="0"/>
        <cfvo type="num" val="1"/>
        <color theme="0"/>
        <color rgb="FF0000FF"/>
      </colorScale>
    </cfRule>
  </conditionalFormatting>
  <conditionalFormatting sqref="C22:J31">
    <cfRule type="colorScale" priority="2">
      <colorScale>
        <cfvo type="num" val="0"/>
        <cfvo type="num" val="1"/>
        <color theme="0"/>
        <color rgb="FFFF0000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2537F-0BD7-4959-86ED-F70E1B143CD3}">
  <dimension ref="A2:K34"/>
  <sheetViews>
    <sheetView topLeftCell="A10" zoomScale="270" zoomScaleNormal="270" workbookViewId="0">
      <selection activeCell="B15" sqref="B15"/>
    </sheetView>
  </sheetViews>
  <sheetFormatPr defaultRowHeight="14.4" x14ac:dyDescent="0.3"/>
  <cols>
    <col min="5" max="5" width="1.77734375" customWidth="1"/>
    <col min="8" max="8" width="1.77734375" customWidth="1"/>
    <col min="11" max="11" width="3.109375" customWidth="1"/>
  </cols>
  <sheetData>
    <row r="2" spans="1:11" ht="15" thickBot="1" x14ac:dyDescent="0.35"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5" thickTop="1" x14ac:dyDescent="0.3">
      <c r="A3" s="12"/>
      <c r="B3" s="13"/>
      <c r="C3" s="13"/>
      <c r="D3" s="13"/>
      <c r="E3" s="13"/>
      <c r="F3" s="13"/>
      <c r="G3" s="13"/>
      <c r="H3" s="13"/>
      <c r="I3" s="13"/>
      <c r="J3" s="13"/>
      <c r="K3" s="14"/>
    </row>
    <row r="4" spans="1:11" x14ac:dyDescent="0.3">
      <c r="A4" s="12"/>
      <c r="B4" s="13"/>
      <c r="C4" s="13"/>
      <c r="D4" s="13"/>
      <c r="E4" s="13"/>
      <c r="F4" s="13"/>
      <c r="G4" s="13"/>
      <c r="H4" s="13"/>
      <c r="I4" s="13"/>
      <c r="J4" s="13"/>
      <c r="K4" s="15"/>
    </row>
    <row r="5" spans="1:11" x14ac:dyDescent="0.3">
      <c r="A5" s="12"/>
      <c r="B5" s="13"/>
      <c r="C5" s="13"/>
      <c r="D5" s="13"/>
      <c r="E5" s="13"/>
      <c r="F5" s="13"/>
      <c r="G5" s="13"/>
      <c r="H5" s="13"/>
      <c r="I5" s="13"/>
      <c r="J5" s="13"/>
      <c r="K5" s="15"/>
    </row>
    <row r="6" spans="1:1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5"/>
    </row>
    <row r="7" spans="1:11" x14ac:dyDescent="0.3">
      <c r="A7" s="12"/>
      <c r="B7" s="13"/>
      <c r="C7" s="13"/>
      <c r="D7" s="13"/>
      <c r="E7" s="13"/>
      <c r="F7" s="13"/>
      <c r="G7" s="13"/>
      <c r="H7" s="13"/>
      <c r="I7" s="13"/>
      <c r="J7" s="13"/>
      <c r="K7" s="15"/>
    </row>
    <row r="8" spans="1:11" x14ac:dyDescent="0.3">
      <c r="A8" s="12"/>
      <c r="B8" s="13"/>
      <c r="C8" s="13"/>
      <c r="D8" s="13"/>
      <c r="E8" s="13"/>
      <c r="F8" s="13"/>
      <c r="G8" s="13"/>
      <c r="H8" s="13"/>
      <c r="I8" s="13"/>
      <c r="J8" s="13"/>
      <c r="K8" s="15"/>
    </row>
    <row r="9" spans="1:11" x14ac:dyDescent="0.3">
      <c r="A9" s="12"/>
      <c r="B9" s="13"/>
      <c r="C9" s="13"/>
      <c r="D9" s="13"/>
      <c r="E9" s="13"/>
      <c r="F9" s="13"/>
      <c r="G9" s="13"/>
      <c r="H9" s="13"/>
      <c r="I9" s="13"/>
      <c r="J9" s="13"/>
      <c r="K9" s="15"/>
    </row>
    <row r="10" spans="1:11" x14ac:dyDescent="0.3">
      <c r="A10" s="12"/>
      <c r="B10" s="13"/>
      <c r="C10" s="22">
        <f xml:space="preserve"> Sheet1!H75</f>
        <v>0.33126384510522278</v>
      </c>
      <c r="D10" s="22"/>
      <c r="E10" s="13"/>
      <c r="F10" s="22">
        <f xml:space="preserve"> Sheet1!I75</f>
        <v>0.15085147397120222</v>
      </c>
      <c r="G10" s="22"/>
      <c r="H10" s="13"/>
      <c r="I10" s="22">
        <f xml:space="preserve"> Sheet1!J75</f>
        <v>3.7654958677685951E-2</v>
      </c>
      <c r="J10" s="22"/>
      <c r="K10" s="15"/>
    </row>
    <row r="11" spans="1:11" ht="7.2" customHeight="1" x14ac:dyDescent="0.3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5"/>
    </row>
    <row r="12" spans="1:11" x14ac:dyDescent="0.3">
      <c r="A12" s="12"/>
      <c r="B12" s="13"/>
      <c r="C12" s="22">
        <f>Sheet1!H76</f>
        <v>0.19875830706313366</v>
      </c>
      <c r="D12" s="22"/>
      <c r="E12" s="17"/>
      <c r="F12" s="22">
        <f>Sheet1!I76</f>
        <v>9.0510884382721327E-2</v>
      </c>
      <c r="G12" s="22"/>
      <c r="H12" s="17"/>
      <c r="I12" s="22">
        <f>Sheet1!J76</f>
        <v>3.7654958677685951E-2</v>
      </c>
      <c r="J12" s="22"/>
      <c r="K12" s="15"/>
    </row>
    <row r="13" spans="1:11" ht="7.2" customHeight="1" x14ac:dyDescent="0.3">
      <c r="A13" s="12"/>
      <c r="B13" s="13"/>
      <c r="C13" s="17"/>
      <c r="D13" s="17"/>
      <c r="E13" s="17"/>
      <c r="F13" s="17"/>
      <c r="G13" s="17"/>
      <c r="H13" s="17"/>
      <c r="I13" s="17"/>
      <c r="J13" s="17"/>
      <c r="K13" s="15"/>
    </row>
    <row r="14" spans="1:11" x14ac:dyDescent="0.3">
      <c r="A14" s="12"/>
      <c r="B14" s="13"/>
      <c r="C14" s="22">
        <f>Sheet1!H77</f>
        <v>0.24844788382891708</v>
      </c>
      <c r="D14" s="22"/>
      <c r="E14" s="17"/>
      <c r="F14" s="22">
        <f>Sheet1!I77</f>
        <v>0.11313860547840165</v>
      </c>
      <c r="G14" s="22"/>
      <c r="H14" s="17"/>
      <c r="I14" s="22">
        <f>Sheet1!J77</f>
        <v>3.7654958677685951E-2</v>
      </c>
      <c r="J14" s="22"/>
      <c r="K14" s="15"/>
    </row>
    <row r="15" spans="1:11" x14ac:dyDescent="0.3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5"/>
    </row>
    <row r="16" spans="1:11" x14ac:dyDescent="0.3">
      <c r="A16" s="12"/>
      <c r="B16" s="13"/>
      <c r="C16" s="13"/>
      <c r="D16" s="13"/>
      <c r="E16" s="13"/>
      <c r="F16" s="13"/>
      <c r="G16" s="13"/>
      <c r="H16" s="13"/>
      <c r="I16" s="13"/>
      <c r="J16" s="13"/>
      <c r="K16" s="15"/>
    </row>
    <row r="17" spans="1:11" x14ac:dyDescent="0.3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15"/>
    </row>
    <row r="18" spans="1:11" x14ac:dyDescent="0.3">
      <c r="A18" s="12"/>
      <c r="B18" s="13"/>
      <c r="C18" s="13"/>
      <c r="D18" s="13"/>
      <c r="E18" s="13"/>
      <c r="F18" s="13"/>
      <c r="G18" s="13"/>
      <c r="H18" s="13"/>
      <c r="I18" s="13"/>
      <c r="J18" s="13"/>
      <c r="K18" s="15"/>
    </row>
    <row r="19" spans="1:11" x14ac:dyDescent="0.3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5"/>
    </row>
    <row r="20" spans="1:11" x14ac:dyDescent="0.3">
      <c r="A20" s="12"/>
      <c r="B20" s="13"/>
      <c r="C20" s="13"/>
      <c r="D20" s="13"/>
      <c r="E20" s="13"/>
      <c r="F20" s="13"/>
      <c r="G20" s="13"/>
      <c r="H20" s="13"/>
      <c r="I20" s="13"/>
      <c r="J20" s="13"/>
      <c r="K20" s="15"/>
    </row>
    <row r="21" spans="1:11" ht="7.2" customHeight="1" x14ac:dyDescent="0.3">
      <c r="A21" s="12"/>
      <c r="B21" s="13"/>
      <c r="C21" s="23"/>
      <c r="D21" s="23"/>
      <c r="E21" s="13"/>
      <c r="F21" s="23"/>
      <c r="G21" s="23"/>
      <c r="H21" s="13"/>
      <c r="I21" s="23"/>
      <c r="J21" s="23"/>
      <c r="K21" s="15"/>
    </row>
    <row r="22" spans="1:11" x14ac:dyDescent="0.3">
      <c r="A22" s="12"/>
      <c r="B22" s="13"/>
      <c r="C22" s="16">
        <f>Sheet1!H78</f>
        <v>0.19875830706313366</v>
      </c>
      <c r="D22" s="16">
        <f>Sheet1!H79</f>
        <v>0.16894456100366362</v>
      </c>
      <c r="E22" s="17"/>
      <c r="F22" s="16">
        <f>Sheet1!I78</f>
        <v>9.0510884382721327E-2</v>
      </c>
      <c r="G22" s="16">
        <f>Sheet1!I79</f>
        <v>7.6934251725313124E-2</v>
      </c>
      <c r="H22" s="17"/>
      <c r="I22" s="16">
        <f>Sheet1!J78</f>
        <v>3.7654958677685951E-2</v>
      </c>
      <c r="J22" s="16">
        <f>Sheet1!J79</f>
        <v>3.7654958677685951E-2</v>
      </c>
      <c r="K22" s="15"/>
    </row>
    <row r="23" spans="1:11" x14ac:dyDescent="0.3">
      <c r="A23" s="12"/>
      <c r="B23" s="13"/>
      <c r="C23" s="18"/>
      <c r="D23" s="18"/>
      <c r="E23" s="13"/>
      <c r="F23" s="18"/>
      <c r="G23" s="18"/>
      <c r="H23" s="13"/>
      <c r="I23" s="18"/>
      <c r="J23" s="18"/>
      <c r="K23" s="15"/>
    </row>
    <row r="24" spans="1:11" x14ac:dyDescent="0.3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5"/>
    </row>
    <row r="25" spans="1:11" x14ac:dyDescent="0.3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5"/>
    </row>
    <row r="26" spans="1:11" x14ac:dyDescent="0.3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5"/>
    </row>
    <row r="27" spans="1:11" x14ac:dyDescent="0.3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5"/>
    </row>
    <row r="28" spans="1:11" x14ac:dyDescent="0.3">
      <c r="A28" s="12"/>
      <c r="B28" s="13"/>
      <c r="C28" s="13"/>
      <c r="D28" s="13"/>
      <c r="E28" s="13"/>
      <c r="F28" s="13"/>
      <c r="G28" s="13"/>
      <c r="H28" s="13"/>
      <c r="I28" s="13"/>
      <c r="J28" s="13"/>
      <c r="K28" s="15"/>
    </row>
    <row r="29" spans="1:11" x14ac:dyDescent="0.3">
      <c r="A29" s="12"/>
      <c r="B29" s="13"/>
      <c r="C29" s="16">
        <f>Sheet1!H80</f>
        <v>0.24844788382891708</v>
      </c>
      <c r="D29" s="16">
        <f>Sheet1!H82</f>
        <v>0.21118070125457952</v>
      </c>
      <c r="E29" s="17"/>
      <c r="F29" s="16">
        <f>Sheet1!I80</f>
        <v>0.11313860547840165</v>
      </c>
      <c r="G29" s="16">
        <f>Sheet1!I82</f>
        <v>9.6167814656641398E-2</v>
      </c>
      <c r="H29" s="17"/>
      <c r="I29" s="16">
        <f>Sheet1!J80</f>
        <v>3.7654958677685951E-2</v>
      </c>
      <c r="J29" s="16">
        <f>Sheet1!J82</f>
        <v>3.7654958677685951E-2</v>
      </c>
      <c r="K29" s="15"/>
    </row>
    <row r="30" spans="1:11" ht="7.2" customHeight="1" x14ac:dyDescent="0.3">
      <c r="A30" s="12"/>
      <c r="B30" s="13"/>
      <c r="C30" s="13"/>
      <c r="D30" s="13"/>
      <c r="E30" s="13"/>
      <c r="F30" s="13"/>
      <c r="G30" s="13"/>
      <c r="H30" s="13"/>
      <c r="I30" s="13"/>
      <c r="J30" s="13"/>
      <c r="K30" s="15"/>
    </row>
    <row r="31" spans="1:11" x14ac:dyDescent="0.3">
      <c r="A31" s="12"/>
      <c r="B31" s="13"/>
      <c r="C31" s="22">
        <f>Sheet1!H81</f>
        <v>0.12422394191445854</v>
      </c>
      <c r="D31" s="22"/>
      <c r="E31" s="17"/>
      <c r="F31" s="22">
        <f>Sheet1!I81</f>
        <v>5.6569302739200827E-2</v>
      </c>
      <c r="G31" s="22"/>
      <c r="H31" s="17"/>
      <c r="I31" s="22">
        <f>Sheet1!J81</f>
        <v>3.7654958677685951E-2</v>
      </c>
      <c r="J31" s="22"/>
      <c r="K31" s="15"/>
    </row>
    <row r="32" spans="1:11" ht="7.2" customHeight="1" x14ac:dyDescent="0.3">
      <c r="A32" s="12"/>
      <c r="B32" s="13"/>
      <c r="C32" s="13"/>
      <c r="D32" s="13"/>
      <c r="E32" s="13"/>
      <c r="F32" s="13"/>
      <c r="G32" s="13"/>
      <c r="H32" s="13"/>
      <c r="I32" s="13"/>
      <c r="J32" s="13"/>
      <c r="K32" s="15"/>
    </row>
    <row r="33" spans="1:11" ht="15" thickBot="1" x14ac:dyDescent="0.35">
      <c r="A33" s="12"/>
      <c r="B33" s="19"/>
      <c r="C33" s="20"/>
      <c r="D33" s="20"/>
      <c r="E33" s="20"/>
      <c r="F33" s="20"/>
      <c r="G33" s="20"/>
      <c r="H33" s="20"/>
      <c r="I33" s="20"/>
      <c r="J33" s="20"/>
      <c r="K33" s="21"/>
    </row>
    <row r="34" spans="1:11" ht="15" thickTop="1" x14ac:dyDescent="0.3"/>
  </sheetData>
  <mergeCells count="15">
    <mergeCell ref="C10:D10"/>
    <mergeCell ref="F10:G10"/>
    <mergeCell ref="I10:J10"/>
    <mergeCell ref="C12:D12"/>
    <mergeCell ref="F12:G12"/>
    <mergeCell ref="I12:J12"/>
    <mergeCell ref="C31:D31"/>
    <mergeCell ref="F31:G31"/>
    <mergeCell ref="I31:J31"/>
    <mergeCell ref="C14:D14"/>
    <mergeCell ref="F14:G14"/>
    <mergeCell ref="I14:J14"/>
    <mergeCell ref="C21:D21"/>
    <mergeCell ref="F21:G21"/>
    <mergeCell ref="I21:J21"/>
  </mergeCells>
  <conditionalFormatting sqref="C10:J14">
    <cfRule type="colorScale" priority="3">
      <colorScale>
        <cfvo type="num" val="0"/>
        <cfvo type="num" val="1"/>
        <color theme="0"/>
        <color rgb="FFFF0000"/>
      </colorScale>
    </cfRule>
  </conditionalFormatting>
  <conditionalFormatting sqref="C10:J31">
    <cfRule type="colorScale" priority="1">
      <colorScale>
        <cfvo type="num" val="0"/>
        <cfvo type="num" val="1"/>
        <color theme="0"/>
        <color rgb="FF0000FF"/>
      </colorScale>
    </cfRule>
  </conditionalFormatting>
  <conditionalFormatting sqref="C22:J31">
    <cfRule type="colorScale" priority="2">
      <colorScale>
        <cfvo type="num" val="0"/>
        <cfvo type="num" val="1"/>
        <color theme="0"/>
        <color rgb="FFFF0000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77873-AD17-4D86-B519-FBDF6B4E9ECA}">
  <dimension ref="A2:K34"/>
  <sheetViews>
    <sheetView topLeftCell="A7" zoomScale="261" zoomScaleNormal="261" workbookViewId="0">
      <selection activeCell="B16" sqref="B16"/>
    </sheetView>
  </sheetViews>
  <sheetFormatPr defaultRowHeight="14.4" x14ac:dyDescent="0.3"/>
  <cols>
    <col min="5" max="5" width="1.77734375" customWidth="1"/>
    <col min="8" max="8" width="1.77734375" customWidth="1"/>
    <col min="11" max="11" width="3.109375" customWidth="1"/>
  </cols>
  <sheetData>
    <row r="2" spans="1:11" ht="15" thickBot="1" x14ac:dyDescent="0.35"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5" thickTop="1" x14ac:dyDescent="0.3">
      <c r="A3" s="12"/>
      <c r="B3" s="13"/>
      <c r="C3" s="13"/>
      <c r="D3" s="13"/>
      <c r="E3" s="13"/>
      <c r="F3" s="13"/>
      <c r="G3" s="13"/>
      <c r="H3" s="13"/>
      <c r="I3" s="13"/>
      <c r="J3" s="13"/>
      <c r="K3" s="14"/>
    </row>
    <row r="4" spans="1:11" x14ac:dyDescent="0.3">
      <c r="A4" s="12"/>
      <c r="B4" s="13"/>
      <c r="C4" s="13"/>
      <c r="D4" s="13"/>
      <c r="E4" s="13"/>
      <c r="F4" s="13"/>
      <c r="G4" s="13"/>
      <c r="H4" s="13"/>
      <c r="I4" s="13"/>
      <c r="J4" s="13"/>
      <c r="K4" s="15"/>
    </row>
    <row r="5" spans="1:11" x14ac:dyDescent="0.3">
      <c r="A5" s="12"/>
      <c r="B5" s="13"/>
      <c r="C5" s="13"/>
      <c r="D5" s="13"/>
      <c r="E5" s="13"/>
      <c r="F5" s="13"/>
      <c r="G5" s="13"/>
      <c r="H5" s="13"/>
      <c r="I5" s="13"/>
      <c r="J5" s="13"/>
      <c r="K5" s="15"/>
    </row>
    <row r="6" spans="1:1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5"/>
    </row>
    <row r="7" spans="1:11" x14ac:dyDescent="0.3">
      <c r="A7" s="12"/>
      <c r="B7" s="13"/>
      <c r="C7" s="13"/>
      <c r="D7" s="13"/>
      <c r="E7" s="13"/>
      <c r="F7" s="13"/>
      <c r="G7" s="13"/>
      <c r="H7" s="13"/>
      <c r="I7" s="13"/>
      <c r="J7" s="13"/>
      <c r="K7" s="15"/>
    </row>
    <row r="8" spans="1:11" x14ac:dyDescent="0.3">
      <c r="A8" s="12"/>
      <c r="B8" s="13"/>
      <c r="C8" s="13"/>
      <c r="D8" s="13"/>
      <c r="E8" s="13"/>
      <c r="F8" s="13"/>
      <c r="G8" s="13"/>
      <c r="H8" s="13"/>
      <c r="I8" s="13"/>
      <c r="J8" s="13"/>
      <c r="K8" s="15"/>
    </row>
    <row r="9" spans="1:11" x14ac:dyDescent="0.3">
      <c r="A9" s="12"/>
      <c r="B9" s="13"/>
      <c r="C9" s="13"/>
      <c r="D9" s="13"/>
      <c r="E9" s="13"/>
      <c r="F9" s="13"/>
      <c r="G9" s="13"/>
      <c r="H9" s="13"/>
      <c r="I9" s="13"/>
      <c r="J9" s="13"/>
      <c r="K9" s="15"/>
    </row>
    <row r="10" spans="1:11" x14ac:dyDescent="0.3">
      <c r="A10" s="12"/>
      <c r="B10" s="13"/>
      <c r="C10" s="22">
        <f xml:space="preserve"> Sheet1!H84</f>
        <v>0.37748080322910449</v>
      </c>
      <c r="D10" s="22"/>
      <c r="E10" s="13"/>
      <c r="F10" s="22">
        <f xml:space="preserve"> Sheet1!I84</f>
        <v>0.19706843209508393</v>
      </c>
      <c r="G10" s="22"/>
      <c r="H10" s="13"/>
      <c r="I10" s="22">
        <f xml:space="preserve"> Sheet1!J84</f>
        <v>6.1479855371900829E-2</v>
      </c>
      <c r="J10" s="22"/>
      <c r="K10" s="15"/>
    </row>
    <row r="11" spans="1:11" ht="7.2" customHeight="1" x14ac:dyDescent="0.3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5"/>
    </row>
    <row r="12" spans="1:11" x14ac:dyDescent="0.3">
      <c r="A12" s="12"/>
      <c r="B12" s="13"/>
      <c r="C12" s="22">
        <f>Sheet1!H85</f>
        <v>0.22648848193746268</v>
      </c>
      <c r="D12" s="22"/>
      <c r="E12" s="17"/>
      <c r="F12" s="22">
        <f>Sheet1!I85</f>
        <v>0.11824105925705035</v>
      </c>
      <c r="G12" s="22"/>
      <c r="H12" s="17"/>
      <c r="I12" s="22">
        <f>Sheet1!J85</f>
        <v>6.1479855371900829E-2</v>
      </c>
      <c r="J12" s="22"/>
      <c r="K12" s="15"/>
    </row>
    <row r="13" spans="1:11" ht="7.2" customHeight="1" x14ac:dyDescent="0.3">
      <c r="A13" s="12"/>
      <c r="B13" s="13"/>
      <c r="C13" s="17"/>
      <c r="D13" s="17"/>
      <c r="E13" s="17"/>
      <c r="F13" s="17"/>
      <c r="G13" s="17"/>
      <c r="H13" s="17"/>
      <c r="I13" s="17"/>
      <c r="J13" s="17"/>
      <c r="K13" s="15"/>
    </row>
    <row r="14" spans="1:11" x14ac:dyDescent="0.3">
      <c r="A14" s="12"/>
      <c r="B14" s="13"/>
      <c r="C14" s="22">
        <f>Sheet1!H86</f>
        <v>0.28311060242182839</v>
      </c>
      <c r="D14" s="22"/>
      <c r="E14" s="17"/>
      <c r="F14" s="22">
        <f>Sheet1!I86</f>
        <v>0.14780132407131294</v>
      </c>
      <c r="G14" s="22"/>
      <c r="H14" s="17"/>
      <c r="I14" s="22">
        <f>Sheet1!J86</f>
        <v>6.1479855371900829E-2</v>
      </c>
      <c r="J14" s="22"/>
      <c r="K14" s="15"/>
    </row>
    <row r="15" spans="1:11" x14ac:dyDescent="0.3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5"/>
    </row>
    <row r="16" spans="1:11" x14ac:dyDescent="0.3">
      <c r="A16" s="12"/>
      <c r="B16" s="13"/>
      <c r="C16" s="13"/>
      <c r="D16" s="13"/>
      <c r="E16" s="13"/>
      <c r="F16" s="13"/>
      <c r="G16" s="13"/>
      <c r="H16" s="13"/>
      <c r="I16" s="13"/>
      <c r="J16" s="13"/>
      <c r="K16" s="15"/>
    </row>
    <row r="17" spans="1:11" x14ac:dyDescent="0.3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15"/>
    </row>
    <row r="18" spans="1:11" x14ac:dyDescent="0.3">
      <c r="A18" s="12"/>
      <c r="B18" s="13"/>
      <c r="C18" s="13"/>
      <c r="D18" s="13"/>
      <c r="E18" s="13"/>
      <c r="F18" s="13"/>
      <c r="G18" s="13"/>
      <c r="H18" s="13"/>
      <c r="I18" s="13"/>
      <c r="J18" s="13"/>
      <c r="K18" s="15"/>
    </row>
    <row r="19" spans="1:11" x14ac:dyDescent="0.3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5"/>
    </row>
    <row r="20" spans="1:11" x14ac:dyDescent="0.3">
      <c r="A20" s="12"/>
      <c r="B20" s="13"/>
      <c r="C20" s="13"/>
      <c r="D20" s="13"/>
      <c r="E20" s="13"/>
      <c r="F20" s="13"/>
      <c r="G20" s="13"/>
      <c r="H20" s="13"/>
      <c r="I20" s="13"/>
      <c r="J20" s="13"/>
      <c r="K20" s="15"/>
    </row>
    <row r="21" spans="1:11" ht="7.2" customHeight="1" x14ac:dyDescent="0.3">
      <c r="A21" s="12"/>
      <c r="B21" s="13"/>
      <c r="C21" s="23"/>
      <c r="D21" s="23"/>
      <c r="E21" s="13"/>
      <c r="F21" s="23"/>
      <c r="G21" s="23"/>
      <c r="H21" s="13"/>
      <c r="I21" s="23"/>
      <c r="J21" s="23"/>
      <c r="K21" s="15"/>
    </row>
    <row r="22" spans="1:11" x14ac:dyDescent="0.3">
      <c r="A22" s="12"/>
      <c r="B22" s="13"/>
      <c r="C22" s="16">
        <f>Sheet1!H87</f>
        <v>0.22648848193746268</v>
      </c>
      <c r="D22" s="16">
        <f>Sheet1!H88</f>
        <v>0.19251520964684327</v>
      </c>
      <c r="E22" s="17"/>
      <c r="F22" s="16">
        <f>Sheet1!I87</f>
        <v>0.11824105925705035</v>
      </c>
      <c r="G22" s="16">
        <f>Sheet1!I88</f>
        <v>0.1005049003684928</v>
      </c>
      <c r="H22" s="17"/>
      <c r="I22" s="16">
        <f>Sheet1!J87</f>
        <v>6.1479855371900829E-2</v>
      </c>
      <c r="J22" s="16">
        <f>Sheet1!J88</f>
        <v>6.1479855371900829E-2</v>
      </c>
      <c r="K22" s="15"/>
    </row>
    <row r="23" spans="1:11" x14ac:dyDescent="0.3">
      <c r="A23" s="12"/>
      <c r="B23" s="13"/>
      <c r="C23" s="18"/>
      <c r="D23" s="18"/>
      <c r="E23" s="13"/>
      <c r="F23" s="18"/>
      <c r="G23" s="18"/>
      <c r="H23" s="13"/>
      <c r="I23" s="18"/>
      <c r="J23" s="18"/>
      <c r="K23" s="15"/>
    </row>
    <row r="24" spans="1:11" x14ac:dyDescent="0.3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5"/>
    </row>
    <row r="25" spans="1:11" x14ac:dyDescent="0.3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5"/>
    </row>
    <row r="26" spans="1:11" x14ac:dyDescent="0.3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5"/>
    </row>
    <row r="27" spans="1:11" x14ac:dyDescent="0.3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5"/>
    </row>
    <row r="28" spans="1:11" x14ac:dyDescent="0.3">
      <c r="A28" s="12"/>
      <c r="B28" s="13"/>
      <c r="C28" s="13"/>
      <c r="D28" s="13"/>
      <c r="E28" s="13"/>
      <c r="F28" s="13"/>
      <c r="G28" s="13"/>
      <c r="H28" s="13"/>
      <c r="I28" s="13"/>
      <c r="J28" s="13"/>
      <c r="K28" s="15"/>
    </row>
    <row r="29" spans="1:11" x14ac:dyDescent="0.3">
      <c r="A29" s="12"/>
      <c r="B29" s="13"/>
      <c r="C29" s="16">
        <f>Sheet1!H89</f>
        <v>0.28311060242182839</v>
      </c>
      <c r="D29" s="16">
        <f>Sheet1!H91</f>
        <v>0.24064401205855412</v>
      </c>
      <c r="E29" s="17"/>
      <c r="F29" s="16">
        <f>Sheet1!I89</f>
        <v>0.14780132407131294</v>
      </c>
      <c r="G29" s="16">
        <f>Sheet1!I91</f>
        <v>0.125631125460616</v>
      </c>
      <c r="H29" s="17"/>
      <c r="I29" s="16">
        <f>Sheet1!J89</f>
        <v>6.1479855371900829E-2</v>
      </c>
      <c r="J29" s="16">
        <f>Sheet1!J91</f>
        <v>6.1479855371900829E-2</v>
      </c>
      <c r="K29" s="15"/>
    </row>
    <row r="30" spans="1:11" ht="7.2" customHeight="1" x14ac:dyDescent="0.3">
      <c r="A30" s="12"/>
      <c r="B30" s="13"/>
      <c r="C30" s="13"/>
      <c r="D30" s="13"/>
      <c r="E30" s="13"/>
      <c r="F30" s="13"/>
      <c r="G30" s="13"/>
      <c r="H30" s="13"/>
      <c r="I30" s="13"/>
      <c r="J30" s="13"/>
      <c r="K30" s="15"/>
    </row>
    <row r="31" spans="1:11" x14ac:dyDescent="0.3">
      <c r="A31" s="12"/>
      <c r="B31" s="13"/>
      <c r="C31" s="22">
        <f>Sheet1!H90</f>
        <v>0.1415553012109142</v>
      </c>
      <c r="D31" s="22"/>
      <c r="E31" s="17"/>
      <c r="F31" s="22">
        <f>Sheet1!I90</f>
        <v>7.390066203565647E-2</v>
      </c>
      <c r="G31" s="22"/>
      <c r="H31" s="17"/>
      <c r="I31" s="22">
        <f>Sheet1!J90</f>
        <v>6.1479855371900829E-2</v>
      </c>
      <c r="J31" s="22"/>
      <c r="K31" s="15"/>
    </row>
    <row r="32" spans="1:11" ht="7.2" customHeight="1" x14ac:dyDescent="0.3">
      <c r="A32" s="12"/>
      <c r="B32" s="13"/>
      <c r="C32" s="13"/>
      <c r="D32" s="13"/>
      <c r="E32" s="13"/>
      <c r="F32" s="13"/>
      <c r="G32" s="13"/>
      <c r="H32" s="13"/>
      <c r="I32" s="13"/>
      <c r="J32" s="13"/>
      <c r="K32" s="15"/>
    </row>
    <row r="33" spans="1:11" ht="15" thickBot="1" x14ac:dyDescent="0.35">
      <c r="A33" s="12"/>
      <c r="B33" s="19"/>
      <c r="C33" s="20"/>
      <c r="D33" s="20"/>
      <c r="E33" s="20"/>
      <c r="F33" s="20"/>
      <c r="G33" s="20"/>
      <c r="H33" s="20"/>
      <c r="I33" s="20"/>
      <c r="J33" s="20"/>
      <c r="K33" s="21"/>
    </row>
    <row r="34" spans="1:11" ht="15" thickTop="1" x14ac:dyDescent="0.3"/>
  </sheetData>
  <mergeCells count="15">
    <mergeCell ref="C10:D10"/>
    <mergeCell ref="F10:G10"/>
    <mergeCell ref="I10:J10"/>
    <mergeCell ref="C12:D12"/>
    <mergeCell ref="F12:G12"/>
    <mergeCell ref="I12:J12"/>
    <mergeCell ref="C31:D31"/>
    <mergeCell ref="F31:G31"/>
    <mergeCell ref="I31:J31"/>
    <mergeCell ref="C14:D14"/>
    <mergeCell ref="F14:G14"/>
    <mergeCell ref="I14:J14"/>
    <mergeCell ref="C21:D21"/>
    <mergeCell ref="F21:G21"/>
    <mergeCell ref="I21:J21"/>
  </mergeCells>
  <conditionalFormatting sqref="C10:J14">
    <cfRule type="colorScale" priority="3">
      <colorScale>
        <cfvo type="num" val="0"/>
        <cfvo type="num" val="1"/>
        <color theme="0"/>
        <color rgb="FFFF0000"/>
      </colorScale>
    </cfRule>
  </conditionalFormatting>
  <conditionalFormatting sqref="C10:J31">
    <cfRule type="colorScale" priority="1">
      <colorScale>
        <cfvo type="num" val="0"/>
        <cfvo type="num" val="1"/>
        <color theme="0"/>
        <color rgb="FF0000FF"/>
      </colorScale>
    </cfRule>
  </conditionalFormatting>
  <conditionalFormatting sqref="C22:J31">
    <cfRule type="colorScale" priority="2">
      <colorScale>
        <cfvo type="num" val="0"/>
        <cfvo type="num" val="1"/>
        <color theme="0"/>
        <color rgb="FFFF0000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65922-1F89-43BC-A399-E25E66986A9A}">
  <dimension ref="A2:K34"/>
  <sheetViews>
    <sheetView zoomScale="70" zoomScaleNormal="70" workbookViewId="0">
      <selection activeCell="P26" sqref="P26"/>
    </sheetView>
  </sheetViews>
  <sheetFormatPr defaultRowHeight="14.4" x14ac:dyDescent="0.3"/>
  <cols>
    <col min="5" max="5" width="1.77734375" customWidth="1"/>
    <col min="8" max="8" width="1.77734375" customWidth="1"/>
    <col min="11" max="11" width="3.109375" customWidth="1"/>
  </cols>
  <sheetData>
    <row r="2" spans="1:11" ht="15" thickBot="1" x14ac:dyDescent="0.35"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5" thickTop="1" x14ac:dyDescent="0.3">
      <c r="A3" s="12"/>
      <c r="B3" s="13"/>
      <c r="C3" s="13"/>
      <c r="D3" s="13"/>
      <c r="E3" s="13"/>
      <c r="F3" s="13"/>
      <c r="G3" s="13"/>
      <c r="H3" s="13"/>
      <c r="I3" s="13"/>
      <c r="J3" s="13"/>
      <c r="K3" s="14"/>
    </row>
    <row r="4" spans="1:11" x14ac:dyDescent="0.3">
      <c r="A4" s="12"/>
      <c r="B4" s="13"/>
      <c r="C4" s="13"/>
      <c r="D4" s="13"/>
      <c r="E4" s="13"/>
      <c r="F4" s="13"/>
      <c r="G4" s="13"/>
      <c r="H4" s="13"/>
      <c r="I4" s="13"/>
      <c r="J4" s="13"/>
      <c r="K4" s="15"/>
    </row>
    <row r="5" spans="1:11" x14ac:dyDescent="0.3">
      <c r="A5" s="12"/>
      <c r="B5" s="13"/>
      <c r="C5" s="13"/>
      <c r="D5" s="13"/>
      <c r="E5" s="13"/>
      <c r="F5" s="13"/>
      <c r="G5" s="13"/>
      <c r="H5" s="13"/>
      <c r="I5" s="13"/>
      <c r="J5" s="13"/>
      <c r="K5" s="15"/>
    </row>
    <row r="6" spans="1:1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5"/>
    </row>
    <row r="7" spans="1:11" x14ac:dyDescent="0.3">
      <c r="A7" s="12"/>
      <c r="B7" s="13"/>
      <c r="C7" s="13"/>
      <c r="D7" s="13"/>
      <c r="E7" s="13"/>
      <c r="F7" s="13"/>
      <c r="G7" s="13"/>
      <c r="H7" s="13"/>
      <c r="I7" s="13"/>
      <c r="J7" s="13"/>
      <c r="K7" s="15"/>
    </row>
    <row r="8" spans="1:11" x14ac:dyDescent="0.3">
      <c r="A8" s="12"/>
      <c r="B8" s="13"/>
      <c r="C8" s="13"/>
      <c r="D8" s="13"/>
      <c r="E8" s="13"/>
      <c r="F8" s="13"/>
      <c r="G8" s="13"/>
      <c r="H8" s="13"/>
      <c r="I8" s="13"/>
      <c r="J8" s="13"/>
      <c r="K8" s="15"/>
    </row>
    <row r="9" spans="1:11" x14ac:dyDescent="0.3">
      <c r="A9" s="12"/>
      <c r="B9" s="13"/>
      <c r="C9" s="13"/>
      <c r="D9" s="13"/>
      <c r="E9" s="13"/>
      <c r="F9" s="13"/>
      <c r="G9" s="13"/>
      <c r="H9" s="13"/>
      <c r="I9" s="13"/>
      <c r="J9" s="13"/>
      <c r="K9" s="15"/>
    </row>
    <row r="10" spans="1:11" x14ac:dyDescent="0.3">
      <c r="A10" s="12"/>
      <c r="B10" s="13"/>
      <c r="C10" s="22">
        <f xml:space="preserve"> Sheet1!H93</f>
        <v>0.5320060226207719</v>
      </c>
      <c r="D10" s="22"/>
      <c r="E10" s="13"/>
      <c r="F10" s="22">
        <f xml:space="preserve"> Sheet1!I93</f>
        <v>0.35159365148675131</v>
      </c>
      <c r="G10" s="22"/>
      <c r="H10" s="13"/>
      <c r="I10" s="22">
        <f xml:space="preserve"> Sheet1!J93</f>
        <v>8.4723657024793397E-2</v>
      </c>
      <c r="J10" s="22"/>
      <c r="K10" s="15"/>
    </row>
    <row r="11" spans="1:11" ht="7.2" customHeight="1" x14ac:dyDescent="0.3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5"/>
    </row>
    <row r="12" spans="1:11" x14ac:dyDescent="0.3">
      <c r="A12" s="12"/>
      <c r="B12" s="13"/>
      <c r="C12" s="22">
        <f>Sheet1!H94</f>
        <v>0.31920361357246313</v>
      </c>
      <c r="D12" s="22"/>
      <c r="E12" s="17"/>
      <c r="F12" s="22">
        <f>Sheet1!I94</f>
        <v>0.21095619089205078</v>
      </c>
      <c r="G12" s="22"/>
      <c r="H12" s="17"/>
      <c r="I12" s="22">
        <f>Sheet1!J94</f>
        <v>8.4723657024793397E-2</v>
      </c>
      <c r="J12" s="22"/>
      <c r="K12" s="15"/>
    </row>
    <row r="13" spans="1:11" ht="7.2" customHeight="1" x14ac:dyDescent="0.3">
      <c r="A13" s="12"/>
      <c r="B13" s="13"/>
      <c r="C13" s="17"/>
      <c r="D13" s="17"/>
      <c r="E13" s="17"/>
      <c r="F13" s="17"/>
      <c r="G13" s="17"/>
      <c r="H13" s="17"/>
      <c r="I13" s="17"/>
      <c r="J13" s="17"/>
      <c r="K13" s="15"/>
    </row>
    <row r="14" spans="1:11" x14ac:dyDescent="0.3">
      <c r="A14" s="12"/>
      <c r="B14" s="13"/>
      <c r="C14" s="22">
        <f>Sheet1!H95</f>
        <v>0.39900451696557893</v>
      </c>
      <c r="D14" s="22"/>
      <c r="E14" s="17"/>
      <c r="F14" s="22">
        <f>Sheet1!I95</f>
        <v>0.2636952386150635</v>
      </c>
      <c r="G14" s="22"/>
      <c r="H14" s="17"/>
      <c r="I14" s="22">
        <f>Sheet1!J95</f>
        <v>8.4723657024793397E-2</v>
      </c>
      <c r="J14" s="22"/>
      <c r="K14" s="15"/>
    </row>
    <row r="15" spans="1:11" x14ac:dyDescent="0.3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5"/>
    </row>
    <row r="16" spans="1:11" x14ac:dyDescent="0.3">
      <c r="A16" s="12"/>
      <c r="B16" s="13"/>
      <c r="C16" s="13"/>
      <c r="D16" s="13"/>
      <c r="E16" s="13"/>
      <c r="F16" s="13"/>
      <c r="G16" s="13"/>
      <c r="H16" s="13"/>
      <c r="I16" s="13"/>
      <c r="J16" s="13"/>
      <c r="K16" s="15"/>
    </row>
    <row r="17" spans="1:11" x14ac:dyDescent="0.3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15"/>
    </row>
    <row r="18" spans="1:11" x14ac:dyDescent="0.3">
      <c r="A18" s="12"/>
      <c r="B18" s="13"/>
      <c r="C18" s="13"/>
      <c r="D18" s="13"/>
      <c r="E18" s="13"/>
      <c r="F18" s="13"/>
      <c r="G18" s="13"/>
      <c r="H18" s="13"/>
      <c r="I18" s="13"/>
      <c r="J18" s="13"/>
      <c r="K18" s="15"/>
    </row>
    <row r="19" spans="1:11" x14ac:dyDescent="0.3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5"/>
    </row>
    <row r="20" spans="1:11" x14ac:dyDescent="0.3">
      <c r="A20" s="12"/>
      <c r="B20" s="13"/>
      <c r="C20" s="13"/>
      <c r="D20" s="13"/>
      <c r="E20" s="13"/>
      <c r="F20" s="13"/>
      <c r="G20" s="13"/>
      <c r="H20" s="13"/>
      <c r="I20" s="13"/>
      <c r="J20" s="13"/>
      <c r="K20" s="15"/>
    </row>
    <row r="21" spans="1:11" ht="7.2" customHeight="1" x14ac:dyDescent="0.3">
      <c r="A21" s="12"/>
      <c r="B21" s="13"/>
      <c r="C21" s="23"/>
      <c r="D21" s="23"/>
      <c r="E21" s="13"/>
      <c r="F21" s="23"/>
      <c r="G21" s="23"/>
      <c r="H21" s="13"/>
      <c r="I21" s="23"/>
      <c r="J21" s="23"/>
      <c r="K21" s="15"/>
    </row>
    <row r="22" spans="1:11" x14ac:dyDescent="0.3">
      <c r="A22" s="12"/>
      <c r="B22" s="13"/>
      <c r="C22" s="16">
        <f>Sheet1!H96</f>
        <v>0.31920361357246313</v>
      </c>
      <c r="D22" s="16">
        <f>Sheet1!H97</f>
        <v>0.27132307153659363</v>
      </c>
      <c r="E22" s="17"/>
      <c r="F22" s="16">
        <f>Sheet1!I96</f>
        <v>0.21095619089205078</v>
      </c>
      <c r="G22" s="16">
        <f>Sheet1!I97</f>
        <v>0.17931276225824316</v>
      </c>
      <c r="H22" s="17"/>
      <c r="I22" s="16">
        <f>Sheet1!J96</f>
        <v>8.4723657024793397E-2</v>
      </c>
      <c r="J22" s="16">
        <f>Sheet1!J97</f>
        <v>8.4723657024793397E-2</v>
      </c>
      <c r="K22" s="15"/>
    </row>
    <row r="23" spans="1:11" x14ac:dyDescent="0.3">
      <c r="A23" s="12"/>
      <c r="B23" s="13"/>
      <c r="C23" s="18"/>
      <c r="D23" s="18"/>
      <c r="E23" s="13"/>
      <c r="F23" s="18"/>
      <c r="G23" s="18"/>
      <c r="H23" s="13"/>
      <c r="I23" s="18"/>
      <c r="J23" s="18"/>
      <c r="K23" s="15"/>
    </row>
    <row r="24" spans="1:11" x14ac:dyDescent="0.3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5"/>
    </row>
    <row r="25" spans="1:11" x14ac:dyDescent="0.3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5"/>
    </row>
    <row r="26" spans="1:11" x14ac:dyDescent="0.3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5"/>
    </row>
    <row r="27" spans="1:11" x14ac:dyDescent="0.3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5"/>
    </row>
    <row r="28" spans="1:11" x14ac:dyDescent="0.3">
      <c r="A28" s="12"/>
      <c r="B28" s="13"/>
      <c r="C28" s="13"/>
      <c r="D28" s="13"/>
      <c r="E28" s="13"/>
      <c r="F28" s="13"/>
      <c r="G28" s="13"/>
      <c r="H28" s="13"/>
      <c r="I28" s="13"/>
      <c r="J28" s="13"/>
      <c r="K28" s="15"/>
    </row>
    <row r="29" spans="1:11" x14ac:dyDescent="0.3">
      <c r="A29" s="12"/>
      <c r="B29" s="13"/>
      <c r="C29" s="16">
        <f>Sheet1!H98</f>
        <v>0.39900451696557893</v>
      </c>
      <c r="D29" s="16">
        <f>Sheet1!H100</f>
        <v>0.33915383942074206</v>
      </c>
      <c r="E29" s="17"/>
      <c r="F29" s="16">
        <f>Sheet1!I98</f>
        <v>0.2636952386150635</v>
      </c>
      <c r="G29" s="16">
        <f>Sheet1!I100</f>
        <v>0.22414095282280397</v>
      </c>
      <c r="H29" s="17"/>
      <c r="I29" s="16">
        <f>Sheet1!J98</f>
        <v>8.4723657024793397E-2</v>
      </c>
      <c r="J29" s="16">
        <f>Sheet1!J100</f>
        <v>8.4723657024793397E-2</v>
      </c>
      <c r="K29" s="15"/>
    </row>
    <row r="30" spans="1:11" ht="7.2" customHeight="1" x14ac:dyDescent="0.3">
      <c r="A30" s="12"/>
      <c r="B30" s="13"/>
      <c r="C30" s="13"/>
      <c r="D30" s="13"/>
      <c r="E30" s="13"/>
      <c r="F30" s="13"/>
      <c r="G30" s="13"/>
      <c r="H30" s="13"/>
      <c r="I30" s="13"/>
      <c r="J30" s="13"/>
      <c r="K30" s="15"/>
    </row>
    <row r="31" spans="1:11" x14ac:dyDescent="0.3">
      <c r="A31" s="12"/>
      <c r="B31" s="13"/>
      <c r="C31" s="22">
        <f>Sheet1!H99</f>
        <v>0.19950225848278946</v>
      </c>
      <c r="D31" s="22"/>
      <c r="E31" s="17"/>
      <c r="F31" s="22">
        <f>Sheet1!I99</f>
        <v>0.13184761930753175</v>
      </c>
      <c r="G31" s="22"/>
      <c r="H31" s="17"/>
      <c r="I31" s="22">
        <f>Sheet1!J99</f>
        <v>8.4723657024793397E-2</v>
      </c>
      <c r="J31" s="22"/>
      <c r="K31" s="15"/>
    </row>
    <row r="32" spans="1:11" ht="7.2" customHeight="1" x14ac:dyDescent="0.3">
      <c r="A32" s="12"/>
      <c r="B32" s="13"/>
      <c r="C32" s="13"/>
      <c r="D32" s="13"/>
      <c r="E32" s="13"/>
      <c r="F32" s="13"/>
      <c r="G32" s="13"/>
      <c r="H32" s="13"/>
      <c r="I32" s="13"/>
      <c r="J32" s="13"/>
      <c r="K32" s="15"/>
    </row>
    <row r="33" spans="1:11" ht="15" thickBot="1" x14ac:dyDescent="0.35">
      <c r="A33" s="12"/>
      <c r="B33" s="19"/>
      <c r="C33" s="20"/>
      <c r="D33" s="20"/>
      <c r="E33" s="20"/>
      <c r="F33" s="20"/>
      <c r="G33" s="20"/>
      <c r="H33" s="20"/>
      <c r="I33" s="20"/>
      <c r="J33" s="20"/>
      <c r="K33" s="21"/>
    </row>
    <row r="34" spans="1:11" ht="15" thickTop="1" x14ac:dyDescent="0.3"/>
  </sheetData>
  <mergeCells count="15">
    <mergeCell ref="C10:D10"/>
    <mergeCell ref="F10:G10"/>
    <mergeCell ref="I10:J10"/>
    <mergeCell ref="C12:D12"/>
    <mergeCell ref="F12:G12"/>
    <mergeCell ref="I12:J12"/>
    <mergeCell ref="C31:D31"/>
    <mergeCell ref="F31:G31"/>
    <mergeCell ref="I31:J31"/>
    <mergeCell ref="C14:D14"/>
    <mergeCell ref="F14:G14"/>
    <mergeCell ref="I14:J14"/>
    <mergeCell ref="C21:D21"/>
    <mergeCell ref="F21:G21"/>
    <mergeCell ref="I21:J21"/>
  </mergeCells>
  <conditionalFormatting sqref="C10:J14">
    <cfRule type="colorScale" priority="3">
      <colorScale>
        <cfvo type="num" val="0"/>
        <cfvo type="num" val="1"/>
        <color theme="0"/>
        <color rgb="FFFF0000"/>
      </colorScale>
    </cfRule>
  </conditionalFormatting>
  <conditionalFormatting sqref="C10:J31">
    <cfRule type="colorScale" priority="1">
      <colorScale>
        <cfvo type="num" val="0"/>
        <cfvo type="num" val="1"/>
        <color theme="0"/>
        <color rgb="FF0000FF"/>
      </colorScale>
    </cfRule>
  </conditionalFormatting>
  <conditionalFormatting sqref="C22:J31">
    <cfRule type="colorScale" priority="2">
      <colorScale>
        <cfvo type="num" val="0"/>
        <cfvo type="num" val="1"/>
        <color theme="0"/>
        <color rgb="FFFF0000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3EDBB-3E1D-48F0-A131-BF1FA8660F6E}">
  <dimension ref="A2:K34"/>
  <sheetViews>
    <sheetView topLeftCell="A6" zoomScale="208" zoomScaleNormal="208" workbookViewId="0">
      <selection activeCell="C13" sqref="C13"/>
    </sheetView>
  </sheetViews>
  <sheetFormatPr defaultRowHeight="14.4" x14ac:dyDescent="0.3"/>
  <cols>
    <col min="5" max="5" width="1.77734375" customWidth="1"/>
    <col min="8" max="8" width="1.77734375" customWidth="1"/>
    <col min="11" max="11" width="3.109375" customWidth="1"/>
  </cols>
  <sheetData>
    <row r="2" spans="1:11" ht="15" thickBot="1" x14ac:dyDescent="0.35"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5" thickTop="1" x14ac:dyDescent="0.3">
      <c r="A3" s="12"/>
      <c r="B3" s="13"/>
      <c r="C3" s="13"/>
      <c r="D3" s="13"/>
      <c r="E3" s="13"/>
      <c r="F3" s="13"/>
      <c r="G3" s="13"/>
      <c r="H3" s="13"/>
      <c r="I3" s="13"/>
      <c r="J3" s="13"/>
      <c r="K3" s="14"/>
    </row>
    <row r="4" spans="1:11" x14ac:dyDescent="0.3">
      <c r="A4" s="12"/>
      <c r="B4" s="13"/>
      <c r="C4" s="13"/>
      <c r="D4" s="13"/>
      <c r="E4" s="13"/>
      <c r="F4" s="13"/>
      <c r="G4" s="13"/>
      <c r="H4" s="13"/>
      <c r="I4" s="13"/>
      <c r="J4" s="13"/>
      <c r="K4" s="15"/>
    </row>
    <row r="5" spans="1:11" x14ac:dyDescent="0.3">
      <c r="A5" s="12"/>
      <c r="B5" s="13"/>
      <c r="C5" s="13"/>
      <c r="D5" s="13"/>
      <c r="E5" s="13"/>
      <c r="F5" s="13"/>
      <c r="G5" s="13"/>
      <c r="H5" s="13"/>
      <c r="I5" s="13"/>
      <c r="J5" s="13"/>
      <c r="K5" s="15"/>
    </row>
    <row r="6" spans="1:1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5"/>
    </row>
    <row r="7" spans="1:11" x14ac:dyDescent="0.3">
      <c r="A7" s="12"/>
      <c r="B7" s="13"/>
      <c r="C7" s="13"/>
      <c r="D7" s="13"/>
      <c r="E7" s="13"/>
      <c r="F7" s="13"/>
      <c r="G7" s="13"/>
      <c r="H7" s="13"/>
      <c r="I7" s="13"/>
      <c r="J7" s="13"/>
      <c r="K7" s="15"/>
    </row>
    <row r="8" spans="1:11" x14ac:dyDescent="0.3">
      <c r="A8" s="12"/>
      <c r="B8" s="13"/>
      <c r="C8" s="13"/>
      <c r="D8" s="13"/>
      <c r="E8" s="13"/>
      <c r="F8" s="13"/>
      <c r="G8" s="13"/>
      <c r="H8" s="13"/>
      <c r="I8" s="13"/>
      <c r="J8" s="13"/>
      <c r="K8" s="15"/>
    </row>
    <row r="9" spans="1:11" x14ac:dyDescent="0.3">
      <c r="A9" s="12"/>
      <c r="B9" s="13"/>
      <c r="C9" s="13"/>
      <c r="D9" s="13"/>
      <c r="E9" s="13"/>
      <c r="F9" s="13"/>
      <c r="G9" s="13"/>
      <c r="H9" s="13"/>
      <c r="I9" s="13"/>
      <c r="J9" s="13"/>
      <c r="K9" s="15"/>
    </row>
    <row r="10" spans="1:11" x14ac:dyDescent="0.3">
      <c r="A10" s="12"/>
      <c r="B10" s="13"/>
      <c r="C10" s="22">
        <f xml:space="preserve"> Sheet1!H102</f>
        <v>0.67597838743574445</v>
      </c>
      <c r="D10" s="22"/>
      <c r="E10" s="13"/>
      <c r="F10" s="22">
        <f xml:space="preserve"> Sheet1!I102</f>
        <v>0.49556601630172392</v>
      </c>
      <c r="G10" s="22"/>
      <c r="H10" s="13"/>
      <c r="I10" s="22">
        <f xml:space="preserve"> Sheet1!J102</f>
        <v>0.31515364516770328</v>
      </c>
      <c r="J10" s="22"/>
      <c r="K10" s="15"/>
    </row>
    <row r="11" spans="1:11" ht="7.2" customHeight="1" x14ac:dyDescent="0.3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5"/>
    </row>
    <row r="12" spans="1:11" x14ac:dyDescent="0.3">
      <c r="A12" s="12"/>
      <c r="B12" s="13"/>
      <c r="C12" s="22">
        <f>Sheet1!H103</f>
        <v>0.40558703246144667</v>
      </c>
      <c r="D12" s="22"/>
      <c r="E12" s="17"/>
      <c r="F12" s="22">
        <f>Sheet1!I103</f>
        <v>0.29733960978103435</v>
      </c>
      <c r="G12" s="22"/>
      <c r="H12" s="17"/>
      <c r="I12" s="22">
        <f>Sheet1!J103</f>
        <v>0.18909218710062195</v>
      </c>
      <c r="J12" s="22"/>
      <c r="K12" s="15"/>
    </row>
    <row r="13" spans="1:11" ht="7.2" customHeight="1" x14ac:dyDescent="0.3">
      <c r="A13" s="12"/>
      <c r="B13" s="13"/>
      <c r="C13" s="17"/>
      <c r="D13" s="17"/>
      <c r="E13" s="17"/>
      <c r="F13" s="17"/>
      <c r="G13" s="17"/>
      <c r="H13" s="17"/>
      <c r="I13" s="17"/>
      <c r="J13" s="17"/>
      <c r="K13" s="15"/>
    </row>
    <row r="14" spans="1:11" x14ac:dyDescent="0.3">
      <c r="A14" s="12"/>
      <c r="B14" s="13"/>
      <c r="C14" s="22">
        <f>Sheet1!H104</f>
        <v>0.50698379057680831</v>
      </c>
      <c r="D14" s="22"/>
      <c r="E14" s="17"/>
      <c r="F14" s="22">
        <f>Sheet1!I104</f>
        <v>0.37167451222629294</v>
      </c>
      <c r="G14" s="22"/>
      <c r="H14" s="17"/>
      <c r="I14" s="22">
        <f>Sheet1!J104</f>
        <v>0.23636523387577746</v>
      </c>
      <c r="J14" s="22"/>
      <c r="K14" s="15"/>
    </row>
    <row r="15" spans="1:11" x14ac:dyDescent="0.3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5"/>
    </row>
    <row r="16" spans="1:11" x14ac:dyDescent="0.3">
      <c r="A16" s="12"/>
      <c r="B16" s="13"/>
      <c r="C16" s="13"/>
      <c r="D16" s="13"/>
      <c r="E16" s="13"/>
      <c r="F16" s="13"/>
      <c r="G16" s="13"/>
      <c r="H16" s="13"/>
      <c r="I16" s="13"/>
      <c r="J16" s="13"/>
      <c r="K16" s="15"/>
    </row>
    <row r="17" spans="1:11" x14ac:dyDescent="0.3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15"/>
    </row>
    <row r="18" spans="1:11" x14ac:dyDescent="0.3">
      <c r="A18" s="12"/>
      <c r="B18" s="13"/>
      <c r="C18" s="13"/>
      <c r="D18" s="13"/>
      <c r="E18" s="13"/>
      <c r="F18" s="13"/>
      <c r="G18" s="13"/>
      <c r="H18" s="13"/>
      <c r="I18" s="13"/>
      <c r="J18" s="13"/>
      <c r="K18" s="15"/>
    </row>
    <row r="19" spans="1:11" x14ac:dyDescent="0.3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5"/>
    </row>
    <row r="20" spans="1:11" x14ac:dyDescent="0.3">
      <c r="A20" s="12"/>
      <c r="B20" s="13"/>
      <c r="C20" s="13"/>
      <c r="D20" s="13"/>
      <c r="E20" s="13"/>
      <c r="F20" s="13"/>
      <c r="G20" s="13"/>
      <c r="H20" s="13"/>
      <c r="I20" s="13"/>
      <c r="J20" s="13"/>
      <c r="K20" s="15"/>
    </row>
    <row r="21" spans="1:11" ht="7.2" customHeight="1" x14ac:dyDescent="0.3">
      <c r="A21" s="12"/>
      <c r="B21" s="13"/>
      <c r="C21" s="23"/>
      <c r="D21" s="23"/>
      <c r="E21" s="13"/>
      <c r="F21" s="23"/>
      <c r="G21" s="23"/>
      <c r="H21" s="13"/>
      <c r="I21" s="23"/>
      <c r="J21" s="23"/>
      <c r="K21" s="15"/>
    </row>
    <row r="22" spans="1:11" x14ac:dyDescent="0.3">
      <c r="A22" s="12"/>
      <c r="B22" s="13"/>
      <c r="C22" s="16">
        <f>Sheet1!H105</f>
        <v>0.40558703246144667</v>
      </c>
      <c r="D22" s="16">
        <f>Sheet1!H106</f>
        <v>0.34474897759222967</v>
      </c>
      <c r="E22" s="17"/>
      <c r="F22" s="16">
        <f>Sheet1!I105</f>
        <v>0.29733960978103435</v>
      </c>
      <c r="G22" s="16">
        <f>Sheet1!I106</f>
        <v>0.2527386683138792</v>
      </c>
      <c r="H22" s="17"/>
      <c r="I22" s="16">
        <f>Sheet1!J105</f>
        <v>0.18909218710062195</v>
      </c>
      <c r="J22" s="16">
        <f>Sheet1!J106</f>
        <v>0.16072835903552865</v>
      </c>
      <c r="K22" s="15"/>
    </row>
    <row r="23" spans="1:11" x14ac:dyDescent="0.3">
      <c r="A23" s="12"/>
      <c r="B23" s="13"/>
      <c r="C23" s="18"/>
      <c r="D23" s="18"/>
      <c r="E23" s="13"/>
      <c r="F23" s="18"/>
      <c r="G23" s="18"/>
      <c r="H23" s="13"/>
      <c r="I23" s="18"/>
      <c r="J23" s="18"/>
      <c r="K23" s="15"/>
    </row>
    <row r="24" spans="1:11" x14ac:dyDescent="0.3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5"/>
    </row>
    <row r="25" spans="1:11" x14ac:dyDescent="0.3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5"/>
    </row>
    <row r="26" spans="1:11" x14ac:dyDescent="0.3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5"/>
    </row>
    <row r="27" spans="1:11" x14ac:dyDescent="0.3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5"/>
    </row>
    <row r="28" spans="1:11" x14ac:dyDescent="0.3">
      <c r="A28" s="12"/>
      <c r="B28" s="13"/>
      <c r="C28" s="13"/>
      <c r="D28" s="13"/>
      <c r="E28" s="13"/>
      <c r="F28" s="13"/>
      <c r="G28" s="13"/>
      <c r="H28" s="13"/>
      <c r="I28" s="13"/>
      <c r="J28" s="13"/>
      <c r="K28" s="15"/>
    </row>
    <row r="29" spans="1:11" x14ac:dyDescent="0.3">
      <c r="A29" s="12"/>
      <c r="B29" s="13"/>
      <c r="C29" s="16">
        <f>Sheet1!H107</f>
        <v>0.50698379057680831</v>
      </c>
      <c r="D29" s="16">
        <f>Sheet1!H109</f>
        <v>0.43093622199028703</v>
      </c>
      <c r="E29" s="17"/>
      <c r="F29" s="16">
        <f>Sheet1!I107</f>
        <v>0.37167451222629294</v>
      </c>
      <c r="G29" s="16">
        <f>Sheet1!I109</f>
        <v>0.31592333539234901</v>
      </c>
      <c r="H29" s="17"/>
      <c r="I29" s="16">
        <f>Sheet1!J107</f>
        <v>0.23636523387577746</v>
      </c>
      <c r="J29" s="16">
        <f>Sheet1!J109</f>
        <v>0.20091044879441083</v>
      </c>
      <c r="K29" s="15"/>
    </row>
    <row r="30" spans="1:11" ht="7.2" customHeight="1" x14ac:dyDescent="0.3">
      <c r="A30" s="12"/>
      <c r="B30" s="13"/>
      <c r="C30" s="13"/>
      <c r="D30" s="13"/>
      <c r="E30" s="13"/>
      <c r="F30" s="13"/>
      <c r="G30" s="13"/>
      <c r="H30" s="13"/>
      <c r="I30" s="13"/>
      <c r="J30" s="13"/>
      <c r="K30" s="15"/>
    </row>
    <row r="31" spans="1:11" x14ac:dyDescent="0.3">
      <c r="A31" s="12"/>
      <c r="B31" s="13"/>
      <c r="C31" s="22">
        <f>Sheet1!H108</f>
        <v>0.25349189528840416</v>
      </c>
      <c r="D31" s="22"/>
      <c r="E31" s="17"/>
      <c r="F31" s="22">
        <f>Sheet1!I108</f>
        <v>0.18583725611314647</v>
      </c>
      <c r="G31" s="22"/>
      <c r="H31" s="17"/>
      <c r="I31" s="22">
        <f>Sheet1!J108</f>
        <v>0.11818261693788873</v>
      </c>
      <c r="J31" s="22"/>
      <c r="K31" s="15"/>
    </row>
    <row r="32" spans="1:11" ht="7.2" customHeight="1" x14ac:dyDescent="0.3">
      <c r="A32" s="12"/>
      <c r="B32" s="13"/>
      <c r="C32" s="13"/>
      <c r="D32" s="13"/>
      <c r="E32" s="13"/>
      <c r="F32" s="13"/>
      <c r="G32" s="13"/>
      <c r="H32" s="13"/>
      <c r="I32" s="13"/>
      <c r="J32" s="13"/>
      <c r="K32" s="15"/>
    </row>
    <row r="33" spans="1:11" ht="15" thickBot="1" x14ac:dyDescent="0.35">
      <c r="A33" s="12"/>
      <c r="B33" s="19"/>
      <c r="C33" s="20"/>
      <c r="D33" s="20"/>
      <c r="E33" s="20"/>
      <c r="F33" s="20"/>
      <c r="G33" s="20"/>
      <c r="H33" s="20"/>
      <c r="I33" s="20"/>
      <c r="J33" s="20"/>
      <c r="K33" s="21"/>
    </row>
    <row r="34" spans="1:11" ht="15" thickTop="1" x14ac:dyDescent="0.3"/>
  </sheetData>
  <mergeCells count="15">
    <mergeCell ref="C10:D10"/>
    <mergeCell ref="F10:G10"/>
    <mergeCell ref="I10:J10"/>
    <mergeCell ref="C12:D12"/>
    <mergeCell ref="F12:G12"/>
    <mergeCell ref="I12:J12"/>
    <mergeCell ref="C31:D31"/>
    <mergeCell ref="F31:G31"/>
    <mergeCell ref="I31:J31"/>
    <mergeCell ref="C14:D14"/>
    <mergeCell ref="F14:G14"/>
    <mergeCell ref="I14:J14"/>
    <mergeCell ref="C21:D21"/>
    <mergeCell ref="F21:G21"/>
    <mergeCell ref="I21:J21"/>
  </mergeCells>
  <conditionalFormatting sqref="C10:J14">
    <cfRule type="colorScale" priority="3">
      <colorScale>
        <cfvo type="num" val="0"/>
        <cfvo type="num" val="1"/>
        <color theme="0"/>
        <color rgb="FFFF0000"/>
      </colorScale>
    </cfRule>
  </conditionalFormatting>
  <conditionalFormatting sqref="C10:J31">
    <cfRule type="colorScale" priority="1">
      <colorScale>
        <cfvo type="num" val="0"/>
        <cfvo type="num" val="1"/>
        <color theme="0"/>
        <color rgb="FF0000FF"/>
      </colorScale>
    </cfRule>
  </conditionalFormatting>
  <conditionalFormatting sqref="C22:J31">
    <cfRule type="colorScale" priority="2">
      <colorScale>
        <cfvo type="num" val="0"/>
        <cfvo type="num" val="1"/>
        <color theme="0"/>
        <color rgb="FFFF0000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02C99-56B6-4C33-B844-7D95F610E73E}">
  <dimension ref="A1:K33"/>
  <sheetViews>
    <sheetView zoomScale="189" zoomScaleNormal="189" workbookViewId="0">
      <selection activeCell="B11" sqref="B11"/>
    </sheetView>
  </sheetViews>
  <sheetFormatPr defaultRowHeight="14.4" x14ac:dyDescent="0.3"/>
  <cols>
    <col min="1" max="1" width="4.6640625" customWidth="1"/>
    <col min="5" max="5" width="1.77734375" customWidth="1"/>
    <col min="8" max="8" width="1.77734375" customWidth="1"/>
    <col min="11" max="11" width="3.109375" customWidth="1"/>
  </cols>
  <sheetData>
    <row r="1" spans="1:11" ht="15" thickBot="1" x14ac:dyDescent="0.35"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15" thickTop="1" x14ac:dyDescent="0.3">
      <c r="A2" s="12"/>
      <c r="B2" s="13"/>
      <c r="C2" s="13"/>
      <c r="D2" s="13"/>
      <c r="E2" s="13"/>
      <c r="F2" s="13"/>
      <c r="G2" s="13"/>
      <c r="H2" s="13"/>
      <c r="I2" s="13"/>
      <c r="J2" s="13"/>
      <c r="K2" s="14"/>
    </row>
    <row r="3" spans="1:11" x14ac:dyDescent="0.3">
      <c r="A3" s="12"/>
      <c r="B3" s="13"/>
      <c r="C3" s="13"/>
      <c r="D3" s="13"/>
      <c r="E3" s="13"/>
      <c r="F3" s="13"/>
      <c r="G3" s="13"/>
      <c r="H3" s="13"/>
      <c r="I3" s="13"/>
      <c r="J3" s="13"/>
      <c r="K3" s="15"/>
    </row>
    <row r="4" spans="1:11" x14ac:dyDescent="0.3">
      <c r="A4" s="12"/>
      <c r="B4" s="13"/>
      <c r="C4" s="13"/>
      <c r="D4" s="13"/>
      <c r="E4" s="13"/>
      <c r="F4" s="13"/>
      <c r="G4" s="13"/>
      <c r="H4" s="13"/>
      <c r="I4" s="13"/>
      <c r="J4" s="13"/>
      <c r="K4" s="15"/>
    </row>
    <row r="5" spans="1:11" x14ac:dyDescent="0.3">
      <c r="A5" s="12"/>
      <c r="B5" s="13"/>
      <c r="C5" s="13"/>
      <c r="D5" s="13"/>
      <c r="E5" s="13"/>
      <c r="F5" s="13"/>
      <c r="G5" s="13"/>
      <c r="H5" s="13"/>
      <c r="I5" s="13"/>
      <c r="J5" s="13"/>
      <c r="K5" s="15"/>
    </row>
    <row r="6" spans="1:1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5"/>
    </row>
    <row r="7" spans="1:11" x14ac:dyDescent="0.3">
      <c r="A7" s="12"/>
      <c r="B7" s="13"/>
      <c r="C7" s="13"/>
      <c r="D7" s="13"/>
      <c r="E7" s="13"/>
      <c r="F7" s="13"/>
      <c r="G7" s="13"/>
      <c r="H7" s="13"/>
      <c r="I7" s="13"/>
      <c r="J7" s="13"/>
      <c r="K7" s="15"/>
    </row>
    <row r="8" spans="1:11" x14ac:dyDescent="0.3">
      <c r="A8" s="12"/>
      <c r="B8" s="13"/>
      <c r="C8" s="13"/>
      <c r="D8" s="13"/>
      <c r="E8" s="13"/>
      <c r="F8" s="13"/>
      <c r="G8" s="13"/>
      <c r="H8" s="13"/>
      <c r="I8" s="13"/>
      <c r="J8" s="13"/>
      <c r="K8" s="15"/>
    </row>
    <row r="9" spans="1:11" x14ac:dyDescent="0.3">
      <c r="A9" s="12"/>
      <c r="B9" s="13"/>
      <c r="C9" s="22">
        <f xml:space="preserve"> Sheet1!H111</f>
        <v>0.59433526632302403</v>
      </c>
      <c r="D9" s="22"/>
      <c r="E9" s="13"/>
      <c r="F9" s="22">
        <f xml:space="preserve"> Sheet1!I111</f>
        <v>0.41392289518900338</v>
      </c>
      <c r="G9" s="22"/>
      <c r="H9" s="13"/>
      <c r="I9" s="22">
        <f xml:space="preserve"> Sheet1!J111</f>
        <v>0.23351052405498279</v>
      </c>
      <c r="J9" s="22"/>
      <c r="K9" s="15"/>
    </row>
    <row r="10" spans="1:11" ht="7.2" customHeight="1" x14ac:dyDescent="0.3">
      <c r="A10" s="12"/>
      <c r="B10" s="13"/>
      <c r="C10" s="13"/>
      <c r="D10" s="13"/>
      <c r="E10" s="13"/>
      <c r="F10" s="13"/>
      <c r="G10" s="13"/>
      <c r="H10" s="13"/>
      <c r="I10" s="13"/>
      <c r="J10" s="13"/>
      <c r="K10" s="15"/>
    </row>
    <row r="11" spans="1:11" x14ac:dyDescent="0.3">
      <c r="A11" s="12"/>
      <c r="B11" s="13"/>
      <c r="C11" s="22">
        <f>Sheet1!H112</f>
        <v>0.26628865979381439</v>
      </c>
      <c r="D11" s="22"/>
      <c r="E11" s="17"/>
      <c r="F11" s="22">
        <f>Sheet1!I112</f>
        <v>0.15804123711340204</v>
      </c>
      <c r="G11" s="22"/>
      <c r="H11" s="17"/>
      <c r="I11" s="22">
        <f>Sheet1!J112</f>
        <v>0.14010631443298968</v>
      </c>
      <c r="J11" s="22"/>
      <c r="K11" s="15"/>
    </row>
    <row r="12" spans="1:11" ht="7.2" customHeight="1" x14ac:dyDescent="0.3">
      <c r="A12" s="12"/>
      <c r="B12" s="13"/>
      <c r="C12" s="17"/>
      <c r="D12" s="17"/>
      <c r="E12" s="17"/>
      <c r="F12" s="17"/>
      <c r="G12" s="17"/>
      <c r="H12" s="17"/>
      <c r="I12" s="17"/>
      <c r="J12" s="17"/>
      <c r="K12" s="15"/>
    </row>
    <row r="13" spans="1:11" x14ac:dyDescent="0.3">
      <c r="A13" s="12"/>
      <c r="B13" s="13"/>
      <c r="C13" s="22">
        <f>Sheet1!H113</f>
        <v>0.44575144974226799</v>
      </c>
      <c r="D13" s="22"/>
      <c r="E13" s="17"/>
      <c r="F13" s="22">
        <f>Sheet1!I113</f>
        <v>0.31044217139175256</v>
      </c>
      <c r="G13" s="22"/>
      <c r="H13" s="17"/>
      <c r="I13" s="22">
        <f>Sheet1!J113</f>
        <v>0.17513289304123708</v>
      </c>
      <c r="J13" s="22"/>
      <c r="K13" s="15"/>
    </row>
    <row r="14" spans="1:11" x14ac:dyDescent="0.3">
      <c r="A14" s="12"/>
      <c r="B14" s="13"/>
      <c r="C14" s="13"/>
      <c r="D14" s="13"/>
      <c r="E14" s="13"/>
      <c r="F14" s="13"/>
      <c r="G14" s="13"/>
      <c r="H14" s="13"/>
      <c r="I14" s="13"/>
      <c r="J14" s="13"/>
      <c r="K14" s="15"/>
    </row>
    <row r="15" spans="1:11" x14ac:dyDescent="0.3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5"/>
    </row>
    <row r="16" spans="1:11" x14ac:dyDescent="0.3">
      <c r="A16" s="12"/>
      <c r="B16" s="13"/>
      <c r="C16" s="13"/>
      <c r="D16" s="13"/>
      <c r="E16" s="13"/>
      <c r="F16" s="13"/>
      <c r="G16" s="13"/>
      <c r="H16" s="13"/>
      <c r="I16" s="13"/>
      <c r="J16" s="13"/>
      <c r="K16" s="15"/>
    </row>
    <row r="17" spans="1:11" x14ac:dyDescent="0.3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15"/>
    </row>
    <row r="18" spans="1:11" x14ac:dyDescent="0.3">
      <c r="A18" s="12"/>
      <c r="B18" s="13"/>
      <c r="C18" s="13"/>
      <c r="D18" s="13"/>
      <c r="E18" s="13"/>
      <c r="F18" s="13"/>
      <c r="G18" s="13"/>
      <c r="H18" s="13"/>
      <c r="I18" s="13"/>
      <c r="J18" s="13"/>
      <c r="K18" s="15"/>
    </row>
    <row r="19" spans="1:11" x14ac:dyDescent="0.3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5"/>
    </row>
    <row r="20" spans="1:11" ht="7.2" customHeight="1" x14ac:dyDescent="0.3">
      <c r="A20" s="12"/>
      <c r="B20" s="13"/>
      <c r="C20" s="23"/>
      <c r="D20" s="23"/>
      <c r="E20" s="13"/>
      <c r="F20" s="23"/>
      <c r="G20" s="23"/>
      <c r="H20" s="13"/>
      <c r="I20" s="23"/>
      <c r="J20" s="23"/>
      <c r="K20" s="15"/>
    </row>
    <row r="21" spans="1:11" x14ac:dyDescent="0.3">
      <c r="A21" s="12"/>
      <c r="B21" s="13"/>
      <c r="C21" s="16">
        <f>Sheet1!H114</f>
        <v>0.3566011597938144</v>
      </c>
      <c r="D21" s="16">
        <f>Sheet1!H114</f>
        <v>0.3566011597938144</v>
      </c>
      <c r="E21" s="17"/>
      <c r="F21" s="16">
        <f>Sheet1!I114</f>
        <v>0.24835373711340203</v>
      </c>
      <c r="G21" s="16">
        <f>Sheet1!I115</f>
        <v>0.21110067654639172</v>
      </c>
      <c r="H21" s="17"/>
      <c r="I21" s="16">
        <f>Sheet1!J114</f>
        <v>0.14010631443298968</v>
      </c>
      <c r="J21" s="16">
        <f>Sheet1!J115</f>
        <v>0.11909036726804123</v>
      </c>
      <c r="K21" s="15"/>
    </row>
    <row r="22" spans="1:11" x14ac:dyDescent="0.3">
      <c r="A22" s="12"/>
      <c r="B22" s="13"/>
      <c r="C22" s="18"/>
      <c r="D22" s="18"/>
      <c r="E22" s="13"/>
      <c r="F22" s="18"/>
      <c r="G22" s="18"/>
      <c r="H22" s="13"/>
      <c r="I22" s="18"/>
      <c r="J22" s="18"/>
      <c r="K22" s="15"/>
    </row>
    <row r="23" spans="1:11" x14ac:dyDescent="0.3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5"/>
    </row>
    <row r="24" spans="1:11" x14ac:dyDescent="0.3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5"/>
    </row>
    <row r="25" spans="1:11" x14ac:dyDescent="0.3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5"/>
    </row>
    <row r="26" spans="1:11" x14ac:dyDescent="0.3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5"/>
    </row>
    <row r="27" spans="1:11" x14ac:dyDescent="0.3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5"/>
    </row>
    <row r="28" spans="1:11" x14ac:dyDescent="0.3">
      <c r="A28" s="12"/>
      <c r="B28" s="13"/>
      <c r="C28" s="16">
        <f>Sheet1!H116</f>
        <v>0.44575144974226799</v>
      </c>
      <c r="D28" s="16">
        <f>Sheet1!H118</f>
        <v>0.37888873228092779</v>
      </c>
      <c r="E28" s="17"/>
      <c r="F28" s="16">
        <f>Sheet1!I116</f>
        <v>0.31044217139175256</v>
      </c>
      <c r="G28" s="16">
        <f>Sheet1!I116</f>
        <v>0.31044217139175256</v>
      </c>
      <c r="H28" s="17"/>
      <c r="I28" s="16">
        <f>Sheet1!J116</f>
        <v>0.17513289304123708</v>
      </c>
      <c r="J28" s="16">
        <f>Sheet1!J118</f>
        <v>0.14886295908505151</v>
      </c>
      <c r="K28" s="15"/>
    </row>
    <row r="29" spans="1:11" ht="7.2" customHeight="1" x14ac:dyDescent="0.3">
      <c r="A29" s="12"/>
      <c r="B29" s="13"/>
      <c r="C29" s="13"/>
      <c r="D29" s="13"/>
      <c r="E29" s="13"/>
      <c r="F29" s="13"/>
      <c r="G29" s="13"/>
      <c r="H29" s="13"/>
      <c r="I29" s="13"/>
      <c r="J29" s="13"/>
      <c r="K29" s="15"/>
    </row>
    <row r="30" spans="1:11" x14ac:dyDescent="0.3">
      <c r="A30" s="12"/>
      <c r="B30" s="13"/>
      <c r="C30" s="22">
        <f>Sheet1!H117</f>
        <v>0.222875724871134</v>
      </c>
      <c r="D30" s="22"/>
      <c r="E30" s="17"/>
      <c r="F30" s="22">
        <f>Sheet1!I117</f>
        <v>0.15522108569587628</v>
      </c>
      <c r="G30" s="22"/>
      <c r="H30" s="17"/>
      <c r="I30" s="22">
        <f>Sheet1!J117</f>
        <v>8.7566446520618541E-2</v>
      </c>
      <c r="J30" s="22"/>
      <c r="K30" s="15"/>
    </row>
    <row r="31" spans="1:11" ht="7.2" customHeight="1" x14ac:dyDescent="0.3">
      <c r="A31" s="12"/>
      <c r="B31" s="13"/>
      <c r="C31" s="13"/>
      <c r="D31" s="13"/>
      <c r="E31" s="13"/>
      <c r="F31" s="13"/>
      <c r="G31" s="13"/>
      <c r="H31" s="13"/>
      <c r="I31" s="13"/>
      <c r="J31" s="13"/>
      <c r="K31" s="15"/>
    </row>
    <row r="32" spans="1:11" ht="15" thickBot="1" x14ac:dyDescent="0.35">
      <c r="A32" s="12"/>
      <c r="B32" s="19"/>
      <c r="C32" s="20"/>
      <c r="D32" s="20"/>
      <c r="E32" s="20"/>
      <c r="F32" s="20"/>
      <c r="G32" s="20"/>
      <c r="H32" s="20"/>
      <c r="I32" s="20"/>
      <c r="J32" s="20"/>
      <c r="K32" s="21"/>
    </row>
    <row r="33" ht="15" thickTop="1" x14ac:dyDescent="0.3"/>
  </sheetData>
  <mergeCells count="15">
    <mergeCell ref="C9:D9"/>
    <mergeCell ref="F9:G9"/>
    <mergeCell ref="I9:J9"/>
    <mergeCell ref="C11:D11"/>
    <mergeCell ref="F11:G11"/>
    <mergeCell ref="I11:J11"/>
    <mergeCell ref="C30:D30"/>
    <mergeCell ref="F30:G30"/>
    <mergeCell ref="I30:J30"/>
    <mergeCell ref="C13:D13"/>
    <mergeCell ref="F13:G13"/>
    <mergeCell ref="I13:J13"/>
    <mergeCell ref="C20:D20"/>
    <mergeCell ref="F20:G20"/>
    <mergeCell ref="I20:J20"/>
  </mergeCells>
  <conditionalFormatting sqref="C9:J13">
    <cfRule type="colorScale" priority="3">
      <colorScale>
        <cfvo type="num" val="0"/>
        <cfvo type="num" val="1"/>
        <color theme="0"/>
        <color rgb="FFFF0000"/>
      </colorScale>
    </cfRule>
  </conditionalFormatting>
  <conditionalFormatting sqref="C9:J30">
    <cfRule type="colorScale" priority="1">
      <colorScale>
        <cfvo type="num" val="0"/>
        <cfvo type="num" val="1"/>
        <color theme="0"/>
        <color rgb="FF0000FF"/>
      </colorScale>
    </cfRule>
  </conditionalFormatting>
  <conditionalFormatting sqref="C21:J30">
    <cfRule type="colorScale" priority="2">
      <colorScale>
        <cfvo type="num" val="0"/>
        <cfvo type="num" val="1"/>
        <color theme="0"/>
        <color rgb="FFFF0000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B2AB2-8A71-4CF3-A431-1F91FD958207}">
  <dimension ref="A1:K33"/>
  <sheetViews>
    <sheetView tabSelected="1" zoomScale="83" zoomScaleNormal="83" workbookViewId="0">
      <selection activeCell="M7" sqref="M7"/>
    </sheetView>
  </sheetViews>
  <sheetFormatPr defaultRowHeight="14.4" x14ac:dyDescent="0.3"/>
  <cols>
    <col min="1" max="1" width="4.6640625" customWidth="1"/>
    <col min="5" max="5" width="1.77734375" customWidth="1"/>
    <col min="8" max="8" width="1.77734375" customWidth="1"/>
    <col min="11" max="11" width="3.109375" customWidth="1"/>
  </cols>
  <sheetData>
    <row r="1" spans="1:11" ht="15" thickBot="1" x14ac:dyDescent="0.35"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15" thickTop="1" x14ac:dyDescent="0.3">
      <c r="A2" s="12"/>
      <c r="B2" s="13"/>
      <c r="C2" s="13"/>
      <c r="D2" s="13"/>
      <c r="E2" s="13"/>
      <c r="F2" s="13"/>
      <c r="G2" s="13"/>
      <c r="H2" s="13"/>
      <c r="I2" s="13"/>
      <c r="J2" s="13"/>
      <c r="K2" s="14"/>
    </row>
    <row r="3" spans="1:11" x14ac:dyDescent="0.3">
      <c r="A3" s="12"/>
      <c r="B3" s="13"/>
      <c r="C3" s="13"/>
      <c r="D3" s="13"/>
      <c r="E3" s="13"/>
      <c r="F3" s="13"/>
      <c r="G3" s="13"/>
      <c r="H3" s="13"/>
      <c r="I3" s="13"/>
      <c r="J3" s="13"/>
      <c r="K3" s="15"/>
    </row>
    <row r="4" spans="1:11" x14ac:dyDescent="0.3">
      <c r="A4" s="12"/>
      <c r="B4" s="13"/>
      <c r="C4" s="13"/>
      <c r="D4" s="13"/>
      <c r="E4" s="13"/>
      <c r="F4" s="13"/>
      <c r="G4" s="13"/>
      <c r="H4" s="13"/>
      <c r="I4" s="13"/>
      <c r="J4" s="13"/>
      <c r="K4" s="15"/>
    </row>
    <row r="5" spans="1:11" x14ac:dyDescent="0.3">
      <c r="A5" s="12"/>
      <c r="B5" s="13"/>
      <c r="C5" s="13"/>
      <c r="D5" s="13"/>
      <c r="E5" s="13"/>
      <c r="F5" s="13"/>
      <c r="G5" s="13"/>
      <c r="H5" s="13"/>
      <c r="I5" s="13"/>
      <c r="J5" s="13"/>
      <c r="K5" s="15"/>
    </row>
    <row r="6" spans="1:1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5"/>
    </row>
    <row r="7" spans="1:11" x14ac:dyDescent="0.3">
      <c r="A7" s="12"/>
      <c r="B7" s="13"/>
      <c r="C7" s="13"/>
      <c r="D7" s="13"/>
      <c r="E7" s="13"/>
      <c r="F7" s="13"/>
      <c r="G7" s="13"/>
      <c r="H7" s="13"/>
      <c r="I7" s="13"/>
      <c r="J7" s="13"/>
      <c r="K7" s="15"/>
    </row>
    <row r="8" spans="1:11" x14ac:dyDescent="0.3">
      <c r="A8" s="12"/>
      <c r="B8" s="13"/>
      <c r="C8" s="13"/>
      <c r="D8" s="13"/>
      <c r="E8" s="13"/>
      <c r="F8" s="13"/>
      <c r="G8" s="13"/>
      <c r="H8" s="13"/>
      <c r="I8" s="13"/>
      <c r="J8" s="13"/>
      <c r="K8" s="15"/>
    </row>
    <row r="9" spans="1:11" x14ac:dyDescent="0.3">
      <c r="A9" s="12"/>
      <c r="B9" s="13"/>
      <c r="C9" s="22">
        <f xml:space="preserve"> Sheet1!H120</f>
        <v>0.84484536082474215</v>
      </c>
      <c r="D9" s="22"/>
      <c r="E9" s="13"/>
      <c r="F9" s="22">
        <f xml:space="preserve"> Sheet1!I120</f>
        <v>0.66443298969072151</v>
      </c>
      <c r="G9" s="22"/>
      <c r="H9" s="13"/>
      <c r="I9" s="22">
        <f xml:space="preserve"> Sheet1!J120</f>
        <v>0.48402061855670098</v>
      </c>
      <c r="J9" s="22"/>
      <c r="K9" s="15"/>
    </row>
    <row r="10" spans="1:11" ht="7.2" customHeight="1" x14ac:dyDescent="0.3">
      <c r="A10" s="12"/>
      <c r="B10" s="13"/>
      <c r="C10" s="13"/>
      <c r="D10" s="13"/>
      <c r="E10" s="13"/>
      <c r="F10" s="13"/>
      <c r="G10" s="13"/>
      <c r="H10" s="13"/>
      <c r="I10" s="13"/>
      <c r="J10" s="13"/>
      <c r="K10" s="15"/>
    </row>
    <row r="11" spans="1:11" x14ac:dyDescent="0.3">
      <c r="A11" s="12"/>
      <c r="B11" s="13"/>
      <c r="C11" s="22">
        <f>Sheet1!H121</f>
        <v>0.50690721649484527</v>
      </c>
      <c r="D11" s="22"/>
      <c r="E11" s="17"/>
      <c r="F11" s="22">
        <f>Sheet1!I121</f>
        <v>0.39865979381443289</v>
      </c>
      <c r="G11" s="22"/>
      <c r="H11" s="17"/>
      <c r="I11" s="22">
        <f>Sheet1!J121</f>
        <v>0.29041237113402057</v>
      </c>
      <c r="J11" s="22"/>
      <c r="K11" s="15"/>
    </row>
    <row r="12" spans="1:11" ht="7.2" customHeight="1" x14ac:dyDescent="0.3">
      <c r="A12" s="12"/>
      <c r="B12" s="13"/>
      <c r="C12" s="17"/>
      <c r="D12" s="17"/>
      <c r="E12" s="17"/>
      <c r="F12" s="17"/>
      <c r="G12" s="17"/>
      <c r="H12" s="17"/>
      <c r="I12" s="17"/>
      <c r="J12" s="17"/>
      <c r="K12" s="15"/>
    </row>
    <row r="13" spans="1:11" x14ac:dyDescent="0.3">
      <c r="A13" s="12"/>
      <c r="B13" s="13"/>
      <c r="C13" s="22">
        <f>Sheet1!H122</f>
        <v>0.63363402061855667</v>
      </c>
      <c r="D13" s="22"/>
      <c r="E13" s="17"/>
      <c r="F13" s="22">
        <f>Sheet1!I122</f>
        <v>0.49832474226804113</v>
      </c>
      <c r="G13" s="22"/>
      <c r="H13" s="17"/>
      <c r="I13" s="22">
        <f>Sheet1!J122</f>
        <v>0.3630154639175257</v>
      </c>
      <c r="J13" s="22"/>
      <c r="K13" s="15"/>
    </row>
    <row r="14" spans="1:11" x14ac:dyDescent="0.3">
      <c r="A14" s="12"/>
      <c r="B14" s="13"/>
      <c r="C14" s="13"/>
      <c r="D14" s="13"/>
      <c r="E14" s="13"/>
      <c r="F14" s="13"/>
      <c r="G14" s="13"/>
      <c r="H14" s="13"/>
      <c r="I14" s="13"/>
      <c r="J14" s="13"/>
      <c r="K14" s="15"/>
    </row>
    <row r="15" spans="1:11" x14ac:dyDescent="0.3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5"/>
    </row>
    <row r="16" spans="1:11" x14ac:dyDescent="0.3">
      <c r="A16" s="12"/>
      <c r="B16" s="13"/>
      <c r="C16" s="13"/>
      <c r="D16" s="13"/>
      <c r="E16" s="13"/>
      <c r="F16" s="13"/>
      <c r="G16" s="13"/>
      <c r="H16" s="13"/>
      <c r="I16" s="13"/>
      <c r="J16" s="13"/>
      <c r="K16" s="15"/>
    </row>
    <row r="17" spans="1:11" x14ac:dyDescent="0.3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15"/>
    </row>
    <row r="18" spans="1:11" x14ac:dyDescent="0.3">
      <c r="A18" s="12"/>
      <c r="B18" s="13"/>
      <c r="C18" s="13"/>
      <c r="D18" s="13"/>
      <c r="E18" s="13"/>
      <c r="F18" s="13"/>
      <c r="G18" s="13"/>
      <c r="H18" s="13"/>
      <c r="I18" s="13"/>
      <c r="J18" s="13"/>
      <c r="K18" s="15"/>
    </row>
    <row r="19" spans="1:11" x14ac:dyDescent="0.3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5"/>
    </row>
    <row r="20" spans="1:11" ht="7.2" customHeight="1" x14ac:dyDescent="0.3">
      <c r="A20" s="12"/>
      <c r="B20" s="13"/>
      <c r="C20" s="23"/>
      <c r="D20" s="23"/>
      <c r="E20" s="13"/>
      <c r="F20" s="23"/>
      <c r="G20" s="23"/>
      <c r="H20" s="13"/>
      <c r="I20" s="23"/>
      <c r="J20" s="23"/>
      <c r="K20" s="15"/>
    </row>
    <row r="21" spans="1:11" x14ac:dyDescent="0.3">
      <c r="A21" s="12"/>
      <c r="B21" s="13"/>
      <c r="C21" s="16">
        <f>Sheet1!H123</f>
        <v>0.50690721649484527</v>
      </c>
      <c r="D21" s="16">
        <f>Sheet1!H124</f>
        <v>0.43087113402061844</v>
      </c>
      <c r="E21" s="17"/>
      <c r="F21" s="16">
        <f>Sheet1!I123</f>
        <v>0.39865979381443289</v>
      </c>
      <c r="G21" s="16">
        <f>Sheet1!I124</f>
        <v>0.33886082474226797</v>
      </c>
      <c r="H21" s="17"/>
      <c r="I21" s="16">
        <f>Sheet1!J123</f>
        <v>0.29041237113402057</v>
      </c>
      <c r="J21" s="16">
        <f>Sheet1!J124</f>
        <v>0.24685051546391748</v>
      </c>
      <c r="K21" s="15"/>
    </row>
    <row r="22" spans="1:11" x14ac:dyDescent="0.3">
      <c r="A22" s="12"/>
      <c r="B22" s="13"/>
      <c r="C22" s="18"/>
      <c r="D22" s="18"/>
      <c r="E22" s="13"/>
      <c r="F22" s="18"/>
      <c r="G22" s="18"/>
      <c r="H22" s="13"/>
      <c r="I22" s="18"/>
      <c r="J22" s="18"/>
      <c r="K22" s="15"/>
    </row>
    <row r="23" spans="1:11" x14ac:dyDescent="0.3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5"/>
    </row>
    <row r="24" spans="1:11" x14ac:dyDescent="0.3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5"/>
    </row>
    <row r="25" spans="1:11" x14ac:dyDescent="0.3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5"/>
    </row>
    <row r="26" spans="1:11" x14ac:dyDescent="0.3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5"/>
    </row>
    <row r="27" spans="1:11" x14ac:dyDescent="0.3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5"/>
    </row>
    <row r="28" spans="1:11" x14ac:dyDescent="0.3">
      <c r="A28" s="12"/>
      <c r="B28" s="13"/>
      <c r="C28" s="16">
        <f>Sheet1!H125</f>
        <v>0.63363402061855667</v>
      </c>
      <c r="D28" s="16">
        <f>Sheet1!H127</f>
        <v>0.5385889175257732</v>
      </c>
      <c r="E28" s="17"/>
      <c r="F28" s="16">
        <f>Sheet1!I125</f>
        <v>0.49832474226804113</v>
      </c>
      <c r="G28" s="16">
        <f>Sheet1!I127</f>
        <v>0.42357603092783497</v>
      </c>
      <c r="H28" s="17"/>
      <c r="I28" s="16">
        <f>Sheet1!J125</f>
        <v>0.3630154639175257</v>
      </c>
      <c r="J28" s="16">
        <f>Sheet1!J127</f>
        <v>0.30856314432989684</v>
      </c>
      <c r="K28" s="15"/>
    </row>
    <row r="29" spans="1:11" ht="7.2" customHeight="1" x14ac:dyDescent="0.3">
      <c r="A29" s="12"/>
      <c r="B29" s="13"/>
      <c r="C29" s="13"/>
      <c r="D29" s="13"/>
      <c r="E29" s="13"/>
      <c r="F29" s="13"/>
      <c r="G29" s="13"/>
      <c r="H29" s="13"/>
      <c r="I29" s="13"/>
      <c r="J29" s="13"/>
      <c r="K29" s="15"/>
    </row>
    <row r="30" spans="1:11" x14ac:dyDescent="0.3">
      <c r="A30" s="12"/>
      <c r="B30" s="13"/>
      <c r="C30" s="22">
        <f>Sheet1!H126</f>
        <v>0.31681701030927834</v>
      </c>
      <c r="D30" s="22"/>
      <c r="E30" s="17"/>
      <c r="F30" s="22">
        <f>Sheet1!I126</f>
        <v>0.24916237113402057</v>
      </c>
      <c r="G30" s="22"/>
      <c r="H30" s="17"/>
      <c r="I30" s="22">
        <f>Sheet1!J126</f>
        <v>0.18150773195876285</v>
      </c>
      <c r="J30" s="22"/>
      <c r="K30" s="15"/>
    </row>
    <row r="31" spans="1:11" ht="7.2" customHeight="1" x14ac:dyDescent="0.3">
      <c r="A31" s="12"/>
      <c r="B31" s="13"/>
      <c r="C31" s="13"/>
      <c r="D31" s="13"/>
      <c r="E31" s="13"/>
      <c r="F31" s="13"/>
      <c r="G31" s="13"/>
      <c r="H31" s="13"/>
      <c r="I31" s="13"/>
      <c r="J31" s="13"/>
      <c r="K31" s="15"/>
    </row>
    <row r="32" spans="1:11" ht="15" thickBot="1" x14ac:dyDescent="0.35">
      <c r="A32" s="12"/>
      <c r="B32" s="19"/>
      <c r="C32" s="20"/>
      <c r="D32" s="20"/>
      <c r="E32" s="20"/>
      <c r="F32" s="20"/>
      <c r="G32" s="20"/>
      <c r="H32" s="20"/>
      <c r="I32" s="20"/>
      <c r="J32" s="20"/>
      <c r="K32" s="21"/>
    </row>
    <row r="33" ht="15" thickTop="1" x14ac:dyDescent="0.3"/>
  </sheetData>
  <mergeCells count="15">
    <mergeCell ref="C9:D9"/>
    <mergeCell ref="F9:G9"/>
    <mergeCell ref="I9:J9"/>
    <mergeCell ref="C11:D11"/>
    <mergeCell ref="F11:G11"/>
    <mergeCell ref="I11:J11"/>
    <mergeCell ref="C30:D30"/>
    <mergeCell ref="F30:G30"/>
    <mergeCell ref="I30:J30"/>
    <mergeCell ref="C13:D13"/>
    <mergeCell ref="F13:G13"/>
    <mergeCell ref="I13:J13"/>
    <mergeCell ref="C20:D20"/>
    <mergeCell ref="F20:G20"/>
    <mergeCell ref="I20:J20"/>
  </mergeCells>
  <conditionalFormatting sqref="C9:J13">
    <cfRule type="colorScale" priority="3">
      <colorScale>
        <cfvo type="num" val="0"/>
        <cfvo type="num" val="1"/>
        <color theme="0"/>
        <color rgb="FFFF0000"/>
      </colorScale>
    </cfRule>
  </conditionalFormatting>
  <conditionalFormatting sqref="C9:J30">
    <cfRule type="colorScale" priority="1">
      <colorScale>
        <cfvo type="num" val="0"/>
        <cfvo type="num" val="1"/>
        <color theme="0"/>
        <color rgb="FF0000FF"/>
      </colorScale>
    </cfRule>
  </conditionalFormatting>
  <conditionalFormatting sqref="C21:J30">
    <cfRule type="colorScale" priority="2">
      <colorScale>
        <cfvo type="num" val="0"/>
        <cfvo type="num" val="1"/>
        <color theme="0"/>
        <color rgb="FFFF0000"/>
      </colorScale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cluster1</vt:lpstr>
      <vt:lpstr>cluster2</vt:lpstr>
      <vt:lpstr>cluster3</vt:lpstr>
      <vt:lpstr>cluster4</vt:lpstr>
      <vt:lpstr>cluster5</vt:lpstr>
      <vt:lpstr>cluster6</vt:lpstr>
      <vt:lpstr>cluster7</vt:lpstr>
      <vt:lpstr>cluster8</vt:lpstr>
      <vt:lpstr>cluster9</vt:lpstr>
      <vt:lpstr>cluster10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Bjarne Vink</dc:creator>
  <cp:lastModifiedBy>Bjarne Vink</cp:lastModifiedBy>
  <cp:lastPrinted>2026-10-23T19:28:49Z</cp:lastPrinted>
  <dcterms:created xsi:type="dcterms:W3CDTF">2026-10-09T14:39:45Z</dcterms:created>
  <dcterms:modified xsi:type="dcterms:W3CDTF">2026-10-26T14:52:35Z</dcterms:modified>
</cp:coreProperties>
</file>